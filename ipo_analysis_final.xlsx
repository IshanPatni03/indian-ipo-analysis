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29b3e8b92be5bf/Documents/"/>
    </mc:Choice>
  </mc:AlternateContent>
  <xr:revisionPtr revIDLastSave="73" documentId="8_{27E0A624-2A6D-44B8-8C0E-A12AE8E74CE0}" xr6:coauthVersionLast="47" xr6:coauthVersionMax="47" xr10:uidLastSave="{3A4FA016-7AC3-4AF1-BE44-7E28A0747098}"/>
  <bookViews>
    <workbookView xWindow="-110" yWindow="-110" windowWidth="19420" windowHeight="12220" tabRatio="1000" firstSheet="1" activeTab="6" xr2:uid="{194630EE-64F4-49E4-8C6D-079912F84FF4}"/>
  </bookViews>
  <sheets>
    <sheet name="q1_yearly_listing_return" sheetId="2" r:id="rId1"/>
    <sheet name="q2_yearly_positive_rate" sheetId="3" r:id="rId2"/>
    <sheet name="q5_current_performance" sheetId="7" r:id="rId3"/>
    <sheet name="q8_ipo_category_detail" sheetId="8" r:id="rId4"/>
    <sheet name="q9_category_summary" sheetId="9" r:id="rId5"/>
    <sheet name="q10_yearly_drift" sheetId="10" r:id="rId6"/>
    <sheet name="summary" sheetId="1" r:id="rId7"/>
  </sheets>
  <definedNames>
    <definedName name="ExternalData_1" localSheetId="0" hidden="1">q1_yearly_listing_return!$A$1:$E$7</definedName>
    <definedName name="ExternalData_1" localSheetId="5" hidden="1">q10_yearly_drift!$A$1:$E$7</definedName>
    <definedName name="ExternalData_1" localSheetId="1" hidden="1">q2_yearly_positive_rate!$A$1:$D$7</definedName>
    <definedName name="ExternalData_1" localSheetId="2" hidden="1">q5_current_performance!$A$1:$E$7</definedName>
    <definedName name="ExternalData_1" localSheetId="3" hidden="1">q8_ipo_category_detail!$A$1:$E$370</definedName>
    <definedName name="ExternalData_1" localSheetId="4" hidden="1">q9_category_summary!$A$1:$C$5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13" i="1"/>
  <c r="B12" i="1"/>
  <c r="B11" i="1"/>
  <c r="B10" i="1"/>
  <c r="B9" i="1"/>
  <c r="B8" i="1"/>
  <c r="B7" i="1"/>
  <c r="B6" i="1"/>
  <c r="B5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40E00D-31D7-40BC-BFDE-45C35328BE6F}" keepAlive="1" name="Query - q1_yearly_listing_return" description="Connection to the 'q1_yearly_listing_return' query in the workbook." type="5" refreshedVersion="8" background="1" saveData="1">
    <dbPr connection="Provider=Microsoft.Mashup.OleDb.1;Data Source=$Workbook$;Location=q1_yearly_listing_return;Extended Properties=&quot;&quot;" command="SELECT * FROM [q1_yearly_listing_return]"/>
  </connection>
  <connection id="2" xr16:uid="{0C072C7C-3165-4B34-8D8E-2067263C9BB1}" keepAlive="1" name="Query - q10_yearly_drift" description="Connection to the 'q10_yearly_drift' query in the workbook." type="5" refreshedVersion="8" background="1" saveData="1">
    <dbPr connection="Provider=Microsoft.Mashup.OleDb.1;Data Source=$Workbook$;Location=q10_yearly_drift;Extended Properties=&quot;&quot;" command="SELECT * FROM [q10_yearly_drift]"/>
  </connection>
  <connection id="3" xr16:uid="{3D3ECB1B-6923-4076-AA0D-1C00B55E572E}" keepAlive="1" name="Query - q2_yearly_positive_rate" description="Connection to the 'q2_yearly_positive_rate' query in the workbook." type="5" refreshedVersion="8" background="1" saveData="1">
    <dbPr connection="Provider=Microsoft.Mashup.OleDb.1;Data Source=$Workbook$;Location=q2_yearly_positive_rate;Extended Properties=&quot;&quot;" command="SELECT * FROM [q2_yearly_positive_rate]"/>
  </connection>
  <connection id="4" xr16:uid="{8DB6E812-81AC-4C2D-BBA0-29304565ACE8}" keepAlive="1" name="Query - q5_current_performance" description="Connection to the 'q5_current_performance' query in the workbook." type="5" refreshedVersion="8" background="1" saveData="1">
    <dbPr connection="Provider=Microsoft.Mashup.OleDb.1;Data Source=$Workbook$;Location=q5_current_performance;Extended Properties=&quot;&quot;" command="SELECT * FROM [q5_current_performance]"/>
  </connection>
  <connection id="5" xr16:uid="{79455C97-5999-4D22-83EA-8C374C09D69C}" keepAlive="1" name="Query - q8_ipo_category_detail" description="Connection to the 'q8_ipo_category_detail' query in the workbook." type="5" refreshedVersion="8" background="1" saveData="1">
    <dbPr connection="Provider=Microsoft.Mashup.OleDb.1;Data Source=$Workbook$;Location=q8_ipo_category_detail;Extended Properties=&quot;&quot;" command="SELECT * FROM [q8_ipo_category_detail]"/>
  </connection>
  <connection id="6" xr16:uid="{A5ECE288-B4DC-4B5A-AA2D-903CCC62F8FD}" keepAlive="1" name="Query - q9_category_summary" description="Connection to the 'q9_category_summary' query in the workbook." type="5" refreshedVersion="8" background="1" saveData="1">
    <dbPr connection="Provider=Microsoft.Mashup.OleDb.1;Data Source=$Workbook$;Location=q9_category_summary;Extended Properties=&quot;&quot;" command="SELECT * FROM [q9_category_summary]"/>
  </connection>
</connections>
</file>

<file path=xl/sharedStrings.xml><?xml version="1.0" encoding="utf-8"?>
<sst xmlns="http://schemas.openxmlformats.org/spreadsheetml/2006/main" count="785" uniqueCount="405">
  <si>
    <t>year</t>
  </si>
  <si>
    <t>ipo_count</t>
  </si>
  <si>
    <t>avg_listing_return</t>
  </si>
  <si>
    <t>worst</t>
  </si>
  <si>
    <t>best</t>
  </si>
  <si>
    <t>total</t>
  </si>
  <si>
    <t>positive</t>
  </si>
  <si>
    <t>pct_positive</t>
  </si>
  <si>
    <t>avg_return_from_issue</t>
  </si>
  <si>
    <t>still_above_issue</t>
  </si>
  <si>
    <t>pct_above_issue</t>
  </si>
  <si>
    <t>full_company_name</t>
  </si>
  <si>
    <t>listing_day</t>
  </si>
  <si>
    <t>current_return</t>
  </si>
  <si>
    <t>ipo_category</t>
  </si>
  <si>
    <t>Interarch Building Products Ltd.</t>
  </si>
  <si>
    <t>Average</t>
  </si>
  <si>
    <t>Innova Captab Ltd.</t>
  </si>
  <si>
    <t>Diffusion Engineers Ltd.</t>
  </si>
  <si>
    <t>J.G.Chemicals Ltd.</t>
  </si>
  <si>
    <t>Billionbrains Garage Ventures Ltd.</t>
  </si>
  <si>
    <t>Vidya Wires Ltd.</t>
  </si>
  <si>
    <t>Zinka Logistics Solutions Ltd.</t>
  </si>
  <si>
    <t>Indiqube Spaces Ltd.</t>
  </si>
  <si>
    <t>GNG Electronics Ltd.</t>
  </si>
  <si>
    <t>Electronics Mart India Ltd.</t>
  </si>
  <si>
    <t>eMudhra Ltd.</t>
  </si>
  <si>
    <t>Shreeji Shipping Global Ltd.</t>
  </si>
  <si>
    <t>Macrotech Developers Ltd.</t>
  </si>
  <si>
    <t>Rategain Travel Technologies Ltd.</t>
  </si>
  <si>
    <t>Jyoti CNC Automation Ltd.</t>
  </si>
  <si>
    <t>Jupiter Life Line Hospitals Ltd.</t>
  </si>
  <si>
    <t>Garuda Construction &amp; Engineering Ltd.</t>
  </si>
  <si>
    <t>Aether Industries Ltd.</t>
  </si>
  <si>
    <t>Park Medi World Ltd.</t>
  </si>
  <si>
    <t>Windlas Biotech Ltd.</t>
  </si>
  <si>
    <t>Ratnaveer Precision Engineering Ltd.</t>
  </si>
  <si>
    <t>Rashi Peripherals Ltd.</t>
  </si>
  <si>
    <t>Gala Precision Engineering Ltd.</t>
  </si>
  <si>
    <t>Veranda Learning Solutions Ltd.</t>
  </si>
  <si>
    <t>Emcure Pharmaceuticals Ltd.</t>
  </si>
  <si>
    <t>Cyient DLM Ltd.</t>
  </si>
  <si>
    <t>Stove Kraft Ltd.</t>
  </si>
  <si>
    <t>UTI Asset Management Co.Ltd.</t>
  </si>
  <si>
    <t>Concord Biotech Ltd.</t>
  </si>
  <si>
    <t>BLS E-Services Ltd.</t>
  </si>
  <si>
    <t>Le Travenues Technology Ltd.</t>
  </si>
  <si>
    <t>SBFC Finance Ltd.</t>
  </si>
  <si>
    <t>Happy Forgings Ltd.</t>
  </si>
  <si>
    <t>Corona Remedies Ltd.</t>
  </si>
  <si>
    <t>Borana Weaves Ltd.</t>
  </si>
  <si>
    <t>PB Fintech Ltd.</t>
  </si>
  <si>
    <t>Latent View Analytics Ltd.</t>
  </si>
  <si>
    <t>India Shelter Finance Corp.Ltd.</t>
  </si>
  <si>
    <t>Fujiyama Power Systems Ltd.</t>
  </si>
  <si>
    <t>ASK Automotive Ltd.</t>
  </si>
  <si>
    <t>Jain Resource Recycling Ltd.</t>
  </si>
  <si>
    <t>Mamata Machinery Ltd.</t>
  </si>
  <si>
    <t>ICICI Prudential Asset Management Co.Ltd.</t>
  </si>
  <si>
    <t>Emmvee Photovoltaic Power Ltd.</t>
  </si>
  <si>
    <t>Vishal Mega Mart Ltd.</t>
  </si>
  <si>
    <t>Route Mobile Ltd.</t>
  </si>
  <si>
    <t>Tata Technologies Ltd.</t>
  </si>
  <si>
    <t>Aadhar Housing Finance Ltd.</t>
  </si>
  <si>
    <t>Meesho Ltd.</t>
  </si>
  <si>
    <t>Gland Pharma Ltd.</t>
  </si>
  <si>
    <t>Tamilnad Mercantile Bank Ltd.</t>
  </si>
  <si>
    <t>Tenneco Clean Air India Ltd.</t>
  </si>
  <si>
    <t>Aditya Birla Sun Life AMC Ltd.</t>
  </si>
  <si>
    <t>Aequs Ltd.</t>
  </si>
  <si>
    <t>Glenmark Life Sciences Ltd.</t>
  </si>
  <si>
    <t>Nephrocare Health Services Ltd.</t>
  </si>
  <si>
    <t>Antony Waste Handling Cell Ltd.</t>
  </si>
  <si>
    <t>CMS Info Systems Ltd.</t>
  </si>
  <si>
    <t>EMS Ltd.</t>
  </si>
  <si>
    <t>Unimech Aerospace &amp; Manufacturing Ltd.</t>
  </si>
  <si>
    <t>Blue Jet Healthcare Ltd.</t>
  </si>
  <si>
    <t>Sagility India Ltd.</t>
  </si>
  <si>
    <t>ideaForge Technology Ltd.</t>
  </si>
  <si>
    <t>TBO Tek Ltd.</t>
  </si>
  <si>
    <t>SAMHI Hotels Ltd.</t>
  </si>
  <si>
    <t>Sah Polymers Ltd.</t>
  </si>
  <si>
    <t>Divgi TorqTransfer Systems Ltd.</t>
  </si>
  <si>
    <t>LG Electronics India Ltd.</t>
  </si>
  <si>
    <t>Prostarm Info Systems Ltd.</t>
  </si>
  <si>
    <t>Archean Chemical Industries Ltd.</t>
  </si>
  <si>
    <t>Anthem Biosciences Ltd.</t>
  </si>
  <si>
    <t>Sigachi Industries Ltd.</t>
  </si>
  <si>
    <t>Canara HSBC Life Insurance Co.Ltd.</t>
  </si>
  <si>
    <t>HDB Financial Services Ltd.</t>
  </si>
  <si>
    <t>Honasa Consumer Ltd.</t>
  </si>
  <si>
    <t>Lenskart Solutions Ltd.</t>
  </si>
  <si>
    <t>Shringar House of Mangalsutra Ltd.</t>
  </si>
  <si>
    <t>Anand Rathi Share &amp; Stock Brokers Ltd.</t>
  </si>
  <si>
    <t>Platinum Industries Ltd.</t>
  </si>
  <si>
    <t>RBZ Jewellers Ltd.</t>
  </si>
  <si>
    <t>Laxmi Organic Industries Ltd.</t>
  </si>
  <si>
    <t>Sanathan Textiles Ltd.</t>
  </si>
  <si>
    <t>Zaggle Prepaid Ocean Services Ltd.</t>
  </si>
  <si>
    <t>Sanstar Ltd.</t>
  </si>
  <si>
    <t>ACME Solar Holdings Ltd.</t>
  </si>
  <si>
    <t>CarTrade Tech Ltd.</t>
  </si>
  <si>
    <t>Midwest Ltd.</t>
  </si>
  <si>
    <t>Dharmaj Crop Guard Ltd.</t>
  </si>
  <si>
    <t>Rishabh Instruments Ltd.</t>
  </si>
  <si>
    <t>Travel Food Services Ltd.</t>
  </si>
  <si>
    <t>Fedbank Financial Services Ltd.</t>
  </si>
  <si>
    <t>Dr.Agarwal's Health Care Ltd.</t>
  </si>
  <si>
    <t>Transrail Lighting Ltd.</t>
  </si>
  <si>
    <t>Gujarat Kidney &amp; Super Speciality Ltd.</t>
  </si>
  <si>
    <t>Indegene Ltd.</t>
  </si>
  <si>
    <t>Jana Small Finance Bank Ltd.</t>
  </si>
  <si>
    <t>Shanti Gold International Ltd.</t>
  </si>
  <si>
    <t>Go Digit General Insurance Ltd.</t>
  </si>
  <si>
    <t>Smartworks Coworking Spaces Ltd.</t>
  </si>
  <si>
    <t>Niva Bupa Health Insurance Co.Ltd.</t>
  </si>
  <si>
    <t>Angel Broking Ltd.</t>
  </si>
  <si>
    <t>Northern Arc Capital Ltd.</t>
  </si>
  <si>
    <t>Uniparts India Ltd.</t>
  </si>
  <si>
    <t>Amanta Healthcare Ltd.</t>
  </si>
  <si>
    <t>BlueStone Jewellery &amp; Lifestyle Ltd.</t>
  </si>
  <si>
    <t>National Securities Depository Ltd.</t>
  </si>
  <si>
    <t>Euro Pratik Sales Ltd.</t>
  </si>
  <si>
    <t>Trualt Bioenergy Ltd.</t>
  </si>
  <si>
    <t>Advance Agrolife Ltd.</t>
  </si>
  <si>
    <t>Saatvik Green Energy Ltd.</t>
  </si>
  <si>
    <t>Epack Prefab Technologies Ltd.</t>
  </si>
  <si>
    <t>Ventive Hospitality Ltd.</t>
  </si>
  <si>
    <t>Hyundai Motor India Ltd.</t>
  </si>
  <si>
    <t>Standard Glass Lining Technology Ltd.</t>
  </si>
  <si>
    <t>Kronox Lab Sciences Ltd.</t>
  </si>
  <si>
    <t>Pyramid Technoplast Ltd.</t>
  </si>
  <si>
    <t>WeWork India Management Ltd.</t>
  </si>
  <si>
    <t>EPACK Durable Ltd.</t>
  </si>
  <si>
    <t>Manba Finance Ltd.</t>
  </si>
  <si>
    <t>Schloss Bangalore Ltd.</t>
  </si>
  <si>
    <t>Ajax Engineering Ltd.</t>
  </si>
  <si>
    <t>Tata Capital Ltd.</t>
  </si>
  <si>
    <t>NTPC Green Energy Ltd.</t>
  </si>
  <si>
    <t>Canara Robeco Asset Management Co.Ltd.</t>
  </si>
  <si>
    <t>GK Energy Ltd.</t>
  </si>
  <si>
    <t>Barbeque-Nation Hospitality Ltd.</t>
  </si>
  <si>
    <t>Five-Star Business Finance Ltd.</t>
  </si>
  <si>
    <t>Entero Healthcare Solutions Ltd.</t>
  </si>
  <si>
    <t>Delhivery Ltd.</t>
  </si>
  <si>
    <t>Ceigall India Ltd.</t>
  </si>
  <si>
    <t>Arkade Developers Ltd.</t>
  </si>
  <si>
    <t>Capillary Technologies India Ltd.</t>
  </si>
  <si>
    <t>Scoda Tubes Ltd.</t>
  </si>
  <si>
    <t>Crizac Ltd.</t>
  </si>
  <si>
    <t>Sambhv Steel Tubes Ltd.</t>
  </si>
  <si>
    <t>Baazar Style Retail Ltd.</t>
  </si>
  <si>
    <t>International Gemmological Institute (India) Ltd.</t>
  </si>
  <si>
    <t>JSW Cement Ltd.</t>
  </si>
  <si>
    <t>Campus Activewear Ltd.</t>
  </si>
  <si>
    <t>Orkla India Ltd.</t>
  </si>
  <si>
    <t>Medi Assist Healthcare Services Ltd.</t>
  </si>
  <si>
    <t>Pace Digitek Ltd.</t>
  </si>
  <si>
    <t>Regaal Resources Ltd.</t>
  </si>
  <si>
    <t>All Time Plastics Ltd.</t>
  </si>
  <si>
    <t>Denta Water &amp; Infra Solutions Ltd.</t>
  </si>
  <si>
    <t>Adani Wilmar Ltd.</t>
  </si>
  <si>
    <t>GPT Healthcare Ltd.</t>
  </si>
  <si>
    <t>Akums Drugs &amp; Pharmaceuticals Ltd.</t>
  </si>
  <si>
    <t>Krystal Integrated Services Ltd.</t>
  </si>
  <si>
    <t>Landmark Cars Ltd.</t>
  </si>
  <si>
    <t>Aegis Vopak Terminals Ltd.</t>
  </si>
  <si>
    <t>Awfis Space Solutions Ltd.</t>
  </si>
  <si>
    <t>Godavari Biorefineries Ltd.</t>
  </si>
  <si>
    <t>Kross Ltd.</t>
  </si>
  <si>
    <t>Protean eGov Technologies Ltd.</t>
  </si>
  <si>
    <t>Ivalue Infosolutions Ltd.</t>
  </si>
  <si>
    <t>Fabtech Technologies Ltd.</t>
  </si>
  <si>
    <t>Patel Retail Ltd.</t>
  </si>
  <si>
    <t>SBI Cards &amp; Payment Services Ltd.</t>
  </si>
  <si>
    <t>Jinkushal Industries Ltd.</t>
  </si>
  <si>
    <t>Sapphire Foods India Ltd.</t>
  </si>
  <si>
    <t>Kalpataru Ltd.</t>
  </si>
  <si>
    <t>Studds Accessories Ltd.</t>
  </si>
  <si>
    <t>Shriram Properties Ltd.</t>
  </si>
  <si>
    <t>Abans Holdings Ltd.</t>
  </si>
  <si>
    <t>Hexaware Technologies Ltd.</t>
  </si>
  <si>
    <t>Carraro India Ltd.</t>
  </si>
  <si>
    <t>Aptus Value Housing Finance India Ltd.</t>
  </si>
  <si>
    <t>M&amp;B Engineering Ltd.</t>
  </si>
  <si>
    <t>Vikran Engineering Ltd.</t>
  </si>
  <si>
    <t>Excelsoft Technologies Ltd.</t>
  </si>
  <si>
    <t>Keystone Realtors Ltd.</t>
  </si>
  <si>
    <t>Manoj Vaibhav Gems 'N' Jewellers Ltd.</t>
  </si>
  <si>
    <t>Gopal Snacks Ltd.</t>
  </si>
  <si>
    <t>Afcons Infrastructure Ltd.</t>
  </si>
  <si>
    <t>Brigade Hotel Ventures Ltd.</t>
  </si>
  <si>
    <t>Laxmi India Finance Ltd.</t>
  </si>
  <si>
    <t>Yatra Online Ltd.</t>
  </si>
  <si>
    <t>HP Adhesives Ltd.</t>
  </si>
  <si>
    <t>Jaro Institute of Technology Management &amp; Research Ltd.</t>
  </si>
  <si>
    <t>Udayshivakumar Infra Ltd.</t>
  </si>
  <si>
    <t>Swiggy Ltd.</t>
  </si>
  <si>
    <t>Oswal Pumps Ltd.</t>
  </si>
  <si>
    <t>Vikram Solar Ltd.</t>
  </si>
  <si>
    <t>Ganesh Consumer Products Ltd.</t>
  </si>
  <si>
    <t>Pine Labs Ltd.</t>
  </si>
  <si>
    <t>Seshaasai Technologies Ltd.</t>
  </si>
  <si>
    <t>Suraksha Diagnostic Ltd.</t>
  </si>
  <si>
    <t>Indo Farm Equipment Ltd.</t>
  </si>
  <si>
    <t>Om Freight Forwarders Ltd.</t>
  </si>
  <si>
    <t>TVS Supply Chain Solutions Ltd.</t>
  </si>
  <si>
    <t>Muthoot Microfin Ltd.</t>
  </si>
  <si>
    <t>Dev Accelerator Ltd.</t>
  </si>
  <si>
    <t>CAMS Ltd.</t>
  </si>
  <si>
    <t>Updater Services Ltd.</t>
  </si>
  <si>
    <t>Vraj Iron &amp; Steel Ltd.</t>
  </si>
  <si>
    <t>BMW Ventures Ltd.</t>
  </si>
  <si>
    <t>Cello World Ltd.</t>
  </si>
  <si>
    <t>Wakefit Innovations Ltd.</t>
  </si>
  <si>
    <t>Star Health &amp; Allied Insurance Co.Ltd.</t>
  </si>
  <si>
    <t>Capital Small Finance Bank Ltd.</t>
  </si>
  <si>
    <t>Mangal Electrical Industries Ltd.</t>
  </si>
  <si>
    <t>Ola Electric Mobility Ltd.</t>
  </si>
  <si>
    <t>Krsnaa Diagnostics Ltd.</t>
  </si>
  <si>
    <t>Nuvoco Vistas Corp.Ltd.</t>
  </si>
  <si>
    <t>Suryoday Small Finance Bank Ltd.</t>
  </si>
  <si>
    <t>Juniper Hotels Ltd.</t>
  </si>
  <si>
    <t>Solarworld Energy Solutions Ltd.</t>
  </si>
  <si>
    <t>Western Carriers (India) Ltd.</t>
  </si>
  <si>
    <t>Exxaro Tiles Ltd.</t>
  </si>
  <si>
    <t>Laxmi Dental Ltd.</t>
  </si>
  <si>
    <t>Valiant Laboratories Ltd.</t>
  </si>
  <si>
    <t>India Pesticides Ltd.</t>
  </si>
  <si>
    <t>Suraj Estate Developers Ltd.</t>
  </si>
  <si>
    <t>Arisinfra Solutions Ltd.</t>
  </si>
  <si>
    <t>Indogulf Cropsciences Ltd.</t>
  </si>
  <si>
    <t>IRM Energy Ltd.</t>
  </si>
  <si>
    <t>Glottis Ltd.</t>
  </si>
  <si>
    <t>One 97 Communications Ltd.</t>
  </si>
  <si>
    <t>Sai Silks (Kalamandir) Ltd.</t>
  </si>
  <si>
    <t>Fusion Micro Finance Ltd.</t>
  </si>
  <si>
    <t>VMS TMT Ltd.</t>
  </si>
  <si>
    <t>ESAF Small Finance Bank Ltd.</t>
  </si>
  <si>
    <t>Vedant Fashions Ltd.</t>
  </si>
  <si>
    <t>Gem Aromatics Ltd.</t>
  </si>
  <si>
    <t>Elin Electronics Ltd.</t>
  </si>
  <si>
    <t>Sula Vineyards Ltd.</t>
  </si>
  <si>
    <t>Tolins Tyres Ltd.</t>
  </si>
  <si>
    <t>Life Insurance Corp.of India</t>
  </si>
  <si>
    <t>Radiant Cash Management Services Ltd.</t>
  </si>
  <si>
    <t>Deepak Builders &amp; Engineers India Ltd.</t>
  </si>
  <si>
    <t>HMA Agro Industries Ltd.</t>
  </si>
  <si>
    <t>Tracxn Technologies Ltd.</t>
  </si>
  <si>
    <t>Global Surfaces Ltd.</t>
  </si>
  <si>
    <t>Stanley Lifestyles Ltd.</t>
  </si>
  <si>
    <t>Chemplast Sanmar Ltd.</t>
  </si>
  <si>
    <t>Uma Exports Ltd.</t>
  </si>
  <si>
    <t>Concord Enviro Systems Ltd.</t>
  </si>
  <si>
    <t>Saraswati Saree Depot Ltd.</t>
  </si>
  <si>
    <t>R K SWAMY Ltd.</t>
  </si>
  <si>
    <t>Shree Tirupati Balajee Agro Trading Co.Ltd.</t>
  </si>
  <si>
    <t>Popular Vehicles &amp; Services Ltd.</t>
  </si>
  <si>
    <t>Tarsons Products Ltd.</t>
  </si>
  <si>
    <t>Credo Brands Marketing Ltd.</t>
  </si>
  <si>
    <t>Heranba Industries Ltd.</t>
  </si>
  <si>
    <t>Nazara Technologies Ltd.</t>
  </si>
  <si>
    <t>Fino Payments Bank Ltd.</t>
  </si>
  <si>
    <t>Anlon Healthcare Ltd.</t>
  </si>
  <si>
    <t>Rolex Rings Ltd.</t>
  </si>
  <si>
    <t>Akme Fintrade (India) Ltd.</t>
  </si>
  <si>
    <t>Easy Trip Planners Ltd.</t>
  </si>
  <si>
    <t>AGS Transact Technologies Ltd.</t>
  </si>
  <si>
    <t>MTAR Technologies Ltd.</t>
  </si>
  <si>
    <t>Both strong</t>
  </si>
  <si>
    <t>Netweb Technologies India Ltd.</t>
  </si>
  <si>
    <t>Syrma SGS Technology Ltd.</t>
  </si>
  <si>
    <t>KRN Heat Exchanger &amp; Refrigeration Ltd.</t>
  </si>
  <si>
    <t>Aditya Infotech Ltd.</t>
  </si>
  <si>
    <t>Ami Organics Ltd.</t>
  </si>
  <si>
    <t>Paras Defence &amp; Space Technologies Ltd.</t>
  </si>
  <si>
    <t>Tega Industries Ltd.</t>
  </si>
  <si>
    <t>Aeroflex Industries Ltd.</t>
  </si>
  <si>
    <t>Indian Renewable Energy Development Agency Ltd.</t>
  </si>
  <si>
    <t>Supriya Lifescience Ltd.</t>
  </si>
  <si>
    <t>Zomato Ltd.</t>
  </si>
  <si>
    <t>DEE Development Engineers Ltd.</t>
  </si>
  <si>
    <t>Hariom Pipe Industries Ltd.</t>
  </si>
  <si>
    <t>DOMS Industries Ltd.</t>
  </si>
  <si>
    <t>Senores Pharmaceuticals Ltd.</t>
  </si>
  <si>
    <t>Bharti Hexacom Ltd.</t>
  </si>
  <si>
    <t>Premier Energies Ltd.</t>
  </si>
  <si>
    <t>JSW Infrastructure Ltd.</t>
  </si>
  <si>
    <t>Inox India Ltd.</t>
  </si>
  <si>
    <t>Happiest Minds Technologies Ltd.</t>
  </si>
  <si>
    <t>Mankind Pharma Ltd.</t>
  </si>
  <si>
    <t>Motisons Jewellers Ltd.</t>
  </si>
  <si>
    <t>Stallion India Fluorochemicals Ltd.</t>
  </si>
  <si>
    <t>Sai Life Sciences Ltd.</t>
  </si>
  <si>
    <t>Waaree Energies Ltd.</t>
  </si>
  <si>
    <t>Orient Technologies Ltd.</t>
  </si>
  <si>
    <t>Listing hero, long-term flop</t>
  </si>
  <si>
    <t>Sudeep Pharma Ltd.</t>
  </si>
  <si>
    <t>Inventurus Knowledge Solutions Ltd.</t>
  </si>
  <si>
    <t>Devyani International Ltd.</t>
  </si>
  <si>
    <t>Enviro Infra Engineers Ltd.</t>
  </si>
  <si>
    <t>Rossari Biotech Ltd.</t>
  </si>
  <si>
    <t>Bansal Wire Industries Ltd.</t>
  </si>
  <si>
    <t>Urban Co.Ltd.</t>
  </si>
  <si>
    <t>Harsha Engineers International Ltd.</t>
  </si>
  <si>
    <t>Bajaj Housing Finance Ltd.</t>
  </si>
  <si>
    <t>P N Gadgil Jewellers Ltd.</t>
  </si>
  <si>
    <t>Burger King India Ltd.</t>
  </si>
  <si>
    <t>Quadrant Future Tek Ltd.</t>
  </si>
  <si>
    <t>Tatva Chintan Pharma Chem Ltd.</t>
  </si>
  <si>
    <t>Medplus Health Services Ltd.</t>
  </si>
  <si>
    <t>G R Infraprojects Ltd.</t>
  </si>
  <si>
    <t>Exicom Tele-Systems Ltd.</t>
  </si>
  <si>
    <t>JNK India Ltd.</t>
  </si>
  <si>
    <t>PhysicsWallah Ltd.</t>
  </si>
  <si>
    <t>Gandhar Oil Refinery (India) Ltd.</t>
  </si>
  <si>
    <t>DCX Systems Ltd.</t>
  </si>
  <si>
    <t>Flair Writing Industries Ltd.</t>
  </si>
  <si>
    <t>Plaza Wires Ltd.</t>
  </si>
  <si>
    <t>Clean Science &amp; Technology Ltd.</t>
  </si>
  <si>
    <t>C.E.Info systems Ltd.</t>
  </si>
  <si>
    <t>Unicommerce eSolutions Ltd.</t>
  </si>
  <si>
    <t>Mukka Proteins Ltd.</t>
  </si>
  <si>
    <t>Vibhor Steel Tubes Ltd.</t>
  </si>
  <si>
    <t>Apeejay Surrendra Park Hotels Ltd.</t>
  </si>
  <si>
    <t>One Mobikwik Systems Ltd.</t>
  </si>
  <si>
    <t>Ellenbarrie Industrial Gases Ltd.</t>
  </si>
  <si>
    <t>Highway Infrastructure Ltd.</t>
  </si>
  <si>
    <t>Nova AgriTech Ltd.</t>
  </si>
  <si>
    <t>Indigo Paints Ltd.</t>
  </si>
  <si>
    <t>Mrs.Bectors Food Specialities Ltd.</t>
  </si>
  <si>
    <t>Go Fashion (India) Ltd.</t>
  </si>
  <si>
    <t>Nureca Ltd.</t>
  </si>
  <si>
    <t>Globe Civil Projects Ltd.</t>
  </si>
  <si>
    <t>IKIO Lighting Ltd.</t>
  </si>
  <si>
    <t>Chemcon Speciality Chemicals Ltd.</t>
  </si>
  <si>
    <t>DAM Capital Advisors Ltd.</t>
  </si>
  <si>
    <t>Utkarsh Small Finance Bank Ltd.</t>
  </si>
  <si>
    <t>Brainbees Solutions Ltd.</t>
  </si>
  <si>
    <t>ECOS (India) Mobility &amp; Hospitality Ltd.</t>
  </si>
  <si>
    <t>Vishnu Prakash R.Punglia Ltd.</t>
  </si>
  <si>
    <t>FSN E-Commerce Ventures Ltd.</t>
  </si>
  <si>
    <t>Dreamfolks Services Ltd.</t>
  </si>
  <si>
    <t>Mazagon Dock Shipbuilders Ltd.</t>
  </si>
  <si>
    <t>Quiet listing, long-term compounder</t>
  </si>
  <si>
    <t>Data Patterns (India) Ltd.</t>
  </si>
  <si>
    <t>Craftsman Automation Ltd.</t>
  </si>
  <si>
    <t>Kaynes Technology India Ltd.</t>
  </si>
  <si>
    <t>Krishna Institute of Medical Sciences Ltd.</t>
  </si>
  <si>
    <t>Venus Pipes &amp; Tubes Ltd.</t>
  </si>
  <si>
    <t>Azad Engineering Ltd.</t>
  </si>
  <si>
    <t>Prudent Corporate Advisory Services Ltd.</t>
  </si>
  <si>
    <t>Kalyan Jewellers India Ltd.</t>
  </si>
  <si>
    <t>Sansera Engineering Ltd.</t>
  </si>
  <si>
    <t>Avalon Technologies Ltd.</t>
  </si>
  <si>
    <t>Indian Railway Finance Corp.Ltd.</t>
  </si>
  <si>
    <t>S.J.S.Enterprises Ltd.</t>
  </si>
  <si>
    <t>Global Health Ltd.</t>
  </si>
  <si>
    <t>Likhitha Infrastructure Ltd.</t>
  </si>
  <si>
    <t>RailTel Corp.of India Ltd.</t>
  </si>
  <si>
    <t>Shyam Metalics &amp; Energy Ltd.</t>
  </si>
  <si>
    <t>Anand Rathi Wealth Ltd.</t>
  </si>
  <si>
    <t>Ather Energy Ltd.</t>
  </si>
  <si>
    <t>Paradeep Phosphates Ltd.</t>
  </si>
  <si>
    <t>Atlanta Electricals Ltd.</t>
  </si>
  <si>
    <t>Ethos Ltd.</t>
  </si>
  <si>
    <t>Yatharth Hospital &amp; Trauma Care Services Ltd.</t>
  </si>
  <si>
    <t>Rubicon Research Ltd.</t>
  </si>
  <si>
    <t>Inox Green Energy Services Ltd.</t>
  </si>
  <si>
    <t>Vijaya Diagnostic Centre Ltd.</t>
  </si>
  <si>
    <t>Rainbow Children's Medicare Ltd.</t>
  </si>
  <si>
    <t>Anupam Rasayan India Ltd.</t>
  </si>
  <si>
    <t>Quality Power Electrical Equipments Ltd.</t>
  </si>
  <si>
    <t>Belrise Industries Ltd.</t>
  </si>
  <si>
    <t>SRM Contractors Ltd.</t>
  </si>
  <si>
    <t>KFin Technologies Ltd.</t>
  </si>
  <si>
    <t>Equitas Small Finance Bank Ltd.</t>
  </si>
  <si>
    <t>Senco Gold Ltd.</t>
  </si>
  <si>
    <t>Bikaji Foods International Ltd.</t>
  </si>
  <si>
    <t>R R Kabel Ltd.</t>
  </si>
  <si>
    <t>KSH International Ltd.</t>
  </si>
  <si>
    <t>Signatureglobal (India) Ltd.</t>
  </si>
  <si>
    <t>Sona BLW Precision Forgings Ltd.</t>
  </si>
  <si>
    <t>Metro Brands Ltd.</t>
  </si>
  <si>
    <t>Home First Finance Co.India Ltd.</t>
  </si>
  <si>
    <t>Allied Blenders &amp; Distillers Ltd.</t>
  </si>
  <si>
    <t>count</t>
  </si>
  <si>
    <t>avg_current_return</t>
  </si>
  <si>
    <t>avg_drift</t>
  </si>
  <si>
    <t>Metric</t>
  </si>
  <si>
    <t>Total IPOs Analysed</t>
  </si>
  <si>
    <t>Years Covered</t>
  </si>
  <si>
    <t>Average Listing Day Return (%)</t>
  </si>
  <si>
    <t>% of IPOs with Positive Listing Return</t>
  </si>
  <si>
    <t>Best Single IPO Listing Return (%)</t>
  </si>
  <si>
    <t>Worst Single IPO Listing Return (%)</t>
  </si>
  <si>
    <t>Best Year (Avg Listing Return)</t>
  </si>
  <si>
    <t>Worst Year (Avg Listing Return)</t>
  </si>
  <si>
    <t>% of IPOs Still Above Issue Price (Overall)</t>
  </si>
  <si>
    <t>Listing Heroes that became Long-term Flops</t>
  </si>
  <si>
    <t>Quiet Compounders (Low listing, High current)</t>
  </si>
  <si>
    <t>Best Long-term Return (%)</t>
  </si>
  <si>
    <t>Only Year with Negative Post-listing Drift</t>
  </si>
  <si>
    <t>Value</t>
  </si>
  <si>
    <t>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</si>
</sst>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F70DC7-161F-463F-8065-AF8F6BDB1695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ipo_count" tableColumnId="2"/>
      <queryTableField id="3" name="avg_listing_return" tableColumnId="3"/>
      <queryTableField id="4" name="worst" tableColumnId="4"/>
      <queryTableField id="5" name="bes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1C01D7E-D5AD-472C-9316-C8DDFF439B60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total" tableColumnId="2"/>
      <queryTableField id="3" name="positive" tableColumnId="3"/>
      <queryTableField id="4" name="pct_positiv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9BEC83F-02FF-43DE-934D-2BF99D7A8D3F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ipo_count" tableColumnId="2"/>
      <queryTableField id="3" name="avg_return_from_issue" tableColumnId="3"/>
      <queryTableField id="4" name="still_above_issue" tableColumnId="4"/>
      <queryTableField id="5" name="pct_above_issu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1E4ED01-0D4D-40EE-A1EA-5E8FA6447D3A}" autoFormatId="16" applyNumberFormats="0" applyBorderFormats="0" applyFontFormats="0" applyPatternFormats="0" applyAlignmentFormats="0" applyWidthHeightFormats="0">
  <queryTableRefresh nextId="6">
    <queryTableFields count="5">
      <queryTableField id="1" name="full_company_name" tableColumnId="1"/>
      <queryTableField id="2" name="year" tableColumnId="2"/>
      <queryTableField id="3" name="listing_day" tableColumnId="3"/>
      <queryTableField id="4" name="current_return" tableColumnId="4"/>
      <queryTableField id="5" name="ipo_category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C9F011D-DA43-48F3-AACC-E23CCB2789F1}" autoFormatId="16" applyNumberFormats="0" applyBorderFormats="0" applyFontFormats="0" applyPatternFormats="0" applyAlignmentFormats="0" applyWidthHeightFormats="0">
  <queryTableRefresh nextId="4">
    <queryTableFields count="3">
      <queryTableField id="1" name="ipo_category" tableColumnId="1"/>
      <queryTableField id="2" name="count" tableColumnId="2"/>
      <queryTableField id="3" name="avg_current_return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3650909-923F-458B-857E-7FD1CB10F660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ipo_count" tableColumnId="2"/>
      <queryTableField id="3" name="avg_listing_return" tableColumnId="3"/>
      <queryTableField id="4" name="avg_current_return" tableColumnId="4"/>
      <queryTableField id="5" name="avg_drif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7D58A-A0F7-40CE-A26B-CFF336180696}" name="q1_yearly_listing_return" displayName="q1_yearly_listing_return" ref="A1:E7" tableType="queryTable" totalsRowShown="0">
  <autoFilter ref="A1:E7" xr:uid="{1C47D58A-A0F7-40CE-A26B-CFF336180696}"/>
  <tableColumns count="5">
    <tableColumn id="1" xr3:uid="{6C164A5E-718D-4155-A21C-43D23A053BC2}" uniqueName="1" name="year" queryTableFieldId="1"/>
    <tableColumn id="2" xr3:uid="{4F80D138-24C4-44C5-B988-F04DC6555731}" uniqueName="2" name="ipo_count" queryTableFieldId="2"/>
    <tableColumn id="3" xr3:uid="{7CB4D789-A876-4242-ACBF-4796216B7807}" uniqueName="3" name="avg_listing_return" queryTableFieldId="3"/>
    <tableColumn id="4" xr3:uid="{219B9A3F-D2B3-489E-9290-9AAA6042A4A1}" uniqueName="4" name="worst" queryTableFieldId="4"/>
    <tableColumn id="5" xr3:uid="{A0C551C9-F255-4320-9F21-D578A1E3F03A}" uniqueName="5" name="bes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3331D2-CAF3-4C27-A4F3-6F580ED60DF8}" name="q2_yearly_positive_rate" displayName="q2_yearly_positive_rate" ref="A1:D7" tableType="queryTable" totalsRowShown="0">
  <autoFilter ref="A1:D7" xr:uid="{6C3331D2-CAF3-4C27-A4F3-6F580ED60DF8}"/>
  <tableColumns count="4">
    <tableColumn id="1" xr3:uid="{0C6A99E4-4166-4101-930E-78FB19A1037A}" uniqueName="1" name="year" queryTableFieldId="1"/>
    <tableColumn id="2" xr3:uid="{492C791D-9C1E-4ED1-A9CC-A61D4C544C8F}" uniqueName="2" name="total" queryTableFieldId="2"/>
    <tableColumn id="3" xr3:uid="{24F015D5-1183-44D6-9C38-500750560CD2}" uniqueName="3" name="positive" queryTableFieldId="3"/>
    <tableColumn id="4" xr3:uid="{155F15BF-7F77-45CD-97B0-164D67624265}" uniqueName="4" name="pct_positiv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6BA71A-632C-42F2-8C7C-E5C29E56B817}" name="q5_current_performance" displayName="q5_current_performance" ref="A1:E7" tableType="queryTable" totalsRowShown="0">
  <autoFilter ref="A1:E7" xr:uid="{F06BA71A-632C-42F2-8C7C-E5C29E56B817}"/>
  <tableColumns count="5">
    <tableColumn id="1" xr3:uid="{A475EFE1-39A6-4D9C-8987-F31D9AA23666}" uniqueName="1" name="year" queryTableFieldId="1"/>
    <tableColumn id="2" xr3:uid="{58D93F86-BEFC-4D66-A485-07D56B8C4DA7}" uniqueName="2" name="ipo_count" queryTableFieldId="2"/>
    <tableColumn id="3" xr3:uid="{D51E9E0F-43FB-44EC-8D2F-56DB96393111}" uniqueName="3" name="avg_return_from_issue" queryTableFieldId="3"/>
    <tableColumn id="4" xr3:uid="{C82D1881-4F02-4497-BA5E-C447E6B53BD3}" uniqueName="4" name="still_above_issue" queryTableFieldId="4"/>
    <tableColumn id="5" xr3:uid="{E2EBBE77-D6C9-4AF5-B755-98A5024C1358}" uniqueName="5" name="pct_above_issu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730C6B-AE2E-4FF1-B7FF-AA5C4E8D326B}" name="q8_ipo_category_detail" displayName="q8_ipo_category_detail" ref="A1:E370" tableType="queryTable" totalsRowShown="0">
  <autoFilter ref="A1:E370" xr:uid="{5B730C6B-AE2E-4FF1-B7FF-AA5C4E8D326B}"/>
  <tableColumns count="5">
    <tableColumn id="1" xr3:uid="{EE5D3433-83C2-49ED-B837-235FCCC41735}" uniqueName="1" name="full_company_name" queryTableFieldId="1" dataDxfId="2"/>
    <tableColumn id="2" xr3:uid="{F9210DEF-0DBA-486A-817B-2346777F04D4}" uniqueName="2" name="year" queryTableFieldId="2"/>
    <tableColumn id="3" xr3:uid="{E38A1D22-4B7D-4C80-95E2-2FAB62D1B4C3}" uniqueName="3" name="listing_day" queryTableFieldId="3"/>
    <tableColumn id="4" xr3:uid="{2A6B1CE4-6D8D-4B96-A478-92588AC79A86}" uniqueName="4" name="current_return" queryTableFieldId="4"/>
    <tableColumn id="5" xr3:uid="{90055DBA-D1E6-4956-BAB3-A0CF07164A74}" uniqueName="5" name="ipo_category" queryTableFieldId="5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FDD06B-EEFF-484D-8AA1-AA674C7A94CB}" name="q9_category_summary" displayName="q9_category_summary" ref="A1:C5" tableType="queryTable" totalsRowShown="0">
  <autoFilter ref="A1:C5" xr:uid="{85FDD06B-EEFF-484D-8AA1-AA674C7A94CB}"/>
  <tableColumns count="3">
    <tableColumn id="1" xr3:uid="{2D246310-D80D-4455-977D-509DFD820F49}" uniqueName="1" name="ipo_category" queryTableFieldId="1" dataDxfId="0"/>
    <tableColumn id="2" xr3:uid="{6DDAE921-5D05-4440-89EC-4FC54A8080B5}" uniqueName="2" name="count" queryTableFieldId="2"/>
    <tableColumn id="3" xr3:uid="{16140AF9-5ED6-48E0-AED2-EF0139090246}" uniqueName="3" name="avg_current_return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EFC3EB-7BFE-40CA-A866-1D2AEAC1565D}" name="q10_yearly_drift" displayName="q10_yearly_drift" ref="A1:E7" tableType="queryTable" totalsRowShown="0">
  <autoFilter ref="A1:E7" xr:uid="{78EFC3EB-7BFE-40CA-A866-1D2AEAC1565D}"/>
  <tableColumns count="5">
    <tableColumn id="1" xr3:uid="{FF7CD35C-9C93-4EFC-AD61-473DFD49F86D}" uniqueName="1" name="year" queryTableFieldId="1"/>
    <tableColumn id="2" xr3:uid="{5BF70B38-37A9-4C0A-B1A9-A8EA471DD9F9}" uniqueName="2" name="ipo_count" queryTableFieldId="2"/>
    <tableColumn id="3" xr3:uid="{2C97F913-8FF4-4835-B255-3AD2F4DC206F}" uniqueName="3" name="avg_listing_return" queryTableFieldId="3"/>
    <tableColumn id="4" xr3:uid="{BDE5B6B6-F9A5-4E7A-97E2-A24B44745D94}" uniqueName="4" name="avg_current_return" queryTableFieldId="4"/>
    <tableColumn id="5" xr3:uid="{3B092BDA-B175-4249-AA41-E5ED172869AE}" uniqueName="5" name="avg_drif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3A5B-76F5-4A27-ABAF-447FF55D90DA}">
  <dimension ref="A1:E7"/>
  <sheetViews>
    <sheetView workbookViewId="0"/>
  </sheetViews>
  <sheetFormatPr defaultRowHeight="14.5" x14ac:dyDescent="0.35"/>
  <cols>
    <col min="1" max="1" width="6.6328125" bestFit="1" customWidth="1"/>
    <col min="2" max="2" width="11.36328125" bestFit="1" customWidth="1"/>
    <col min="3" max="3" width="17.90625" bestFit="1" customWidth="1"/>
    <col min="4" max="4" width="7.6328125" bestFit="1" customWidth="1"/>
    <col min="5" max="5" width="6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2020</v>
      </c>
      <c r="B2">
        <v>14</v>
      </c>
      <c r="C2">
        <v>44.34</v>
      </c>
      <c r="D2">
        <v>-14.04</v>
      </c>
      <c r="E2">
        <v>125</v>
      </c>
    </row>
    <row r="3" spans="1:5" x14ac:dyDescent="0.35">
      <c r="A3">
        <v>2021</v>
      </c>
      <c r="B3">
        <v>63</v>
      </c>
      <c r="C3">
        <v>30.57</v>
      </c>
      <c r="D3">
        <v>-27.7</v>
      </c>
      <c r="E3">
        <v>267.18</v>
      </c>
    </row>
    <row r="4" spans="1:5" x14ac:dyDescent="0.35">
      <c r="A4">
        <v>2022</v>
      </c>
      <c r="B4">
        <v>38</v>
      </c>
      <c r="C4">
        <v>9.3699999999999992</v>
      </c>
      <c r="D4">
        <v>-19.98</v>
      </c>
      <c r="E4">
        <v>50.98</v>
      </c>
    </row>
    <row r="5" spans="1:5" x14ac:dyDescent="0.35">
      <c r="A5">
        <v>2023</v>
      </c>
      <c r="B5">
        <v>59</v>
      </c>
      <c r="C5">
        <v>28.53</v>
      </c>
      <c r="D5">
        <v>-10</v>
      </c>
      <c r="E5">
        <v>162.6</v>
      </c>
    </row>
    <row r="6" spans="1:5" x14ac:dyDescent="0.35">
      <c r="A6">
        <v>2024</v>
      </c>
      <c r="B6">
        <v>90</v>
      </c>
      <c r="C6">
        <v>30.12</v>
      </c>
      <c r="D6">
        <v>-20.22</v>
      </c>
      <c r="E6">
        <v>195.53</v>
      </c>
    </row>
    <row r="7" spans="1:5" x14ac:dyDescent="0.35">
      <c r="A7">
        <v>2025</v>
      </c>
      <c r="B7">
        <v>103</v>
      </c>
      <c r="C7">
        <v>9.4</v>
      </c>
      <c r="D7">
        <v>-36.61</v>
      </c>
      <c r="E7">
        <v>72.5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B110-AA4D-4D60-A51D-7F90522467ED}">
  <dimension ref="A1:D7"/>
  <sheetViews>
    <sheetView workbookViewId="0"/>
  </sheetViews>
  <sheetFormatPr defaultRowHeight="14.5" x14ac:dyDescent="0.35"/>
  <cols>
    <col min="1" max="1" width="6.6328125" bestFit="1" customWidth="1"/>
    <col min="2" max="2" width="6.90625" bestFit="1" customWidth="1"/>
    <col min="3" max="3" width="9.7265625" bestFit="1" customWidth="1"/>
    <col min="4" max="4" width="13.26953125" bestFit="1" customWidth="1"/>
  </cols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>
        <v>2020</v>
      </c>
      <c r="B2">
        <v>14</v>
      </c>
      <c r="C2">
        <v>10</v>
      </c>
      <c r="D2">
        <v>71.400000000000006</v>
      </c>
    </row>
    <row r="3" spans="1:4" x14ac:dyDescent="0.35">
      <c r="A3">
        <v>2021</v>
      </c>
      <c r="B3">
        <v>63</v>
      </c>
      <c r="C3">
        <v>44</v>
      </c>
      <c r="D3">
        <v>69.8</v>
      </c>
    </row>
    <row r="4" spans="1:4" x14ac:dyDescent="0.35">
      <c r="A4">
        <v>2022</v>
      </c>
      <c r="B4">
        <v>38</v>
      </c>
      <c r="C4">
        <v>23</v>
      </c>
      <c r="D4">
        <v>60.5</v>
      </c>
    </row>
    <row r="5" spans="1:4" x14ac:dyDescent="0.35">
      <c r="A5">
        <v>2023</v>
      </c>
      <c r="B5">
        <v>59</v>
      </c>
      <c r="C5">
        <v>51</v>
      </c>
      <c r="D5">
        <v>86.4</v>
      </c>
    </row>
    <row r="6" spans="1:4" x14ac:dyDescent="0.35">
      <c r="A6">
        <v>2024</v>
      </c>
      <c r="B6">
        <v>90</v>
      </c>
      <c r="C6">
        <v>71</v>
      </c>
      <c r="D6">
        <v>78.900000000000006</v>
      </c>
    </row>
    <row r="7" spans="1:4" x14ac:dyDescent="0.35">
      <c r="A7">
        <v>2025</v>
      </c>
      <c r="B7">
        <v>103</v>
      </c>
      <c r="C7">
        <v>69</v>
      </c>
      <c r="D7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80BD-BF7D-415A-BF31-BF7C7DADB81D}">
  <dimension ref="A1:E7"/>
  <sheetViews>
    <sheetView workbookViewId="0"/>
  </sheetViews>
  <sheetFormatPr defaultRowHeight="14.5" x14ac:dyDescent="0.35"/>
  <cols>
    <col min="1" max="1" width="6.6328125" bestFit="1" customWidth="1"/>
    <col min="2" max="2" width="11.36328125" bestFit="1" customWidth="1"/>
    <col min="3" max="3" width="22" bestFit="1" customWidth="1"/>
    <col min="4" max="4" width="17.453125" bestFit="1" customWidth="1"/>
    <col min="5" max="5" width="17" bestFit="1" customWidth="1"/>
  </cols>
  <sheetData>
    <row r="1" spans="1:5" x14ac:dyDescent="0.35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 spans="1:5" x14ac:dyDescent="0.35">
      <c r="A2">
        <v>2020</v>
      </c>
      <c r="B2">
        <v>14</v>
      </c>
      <c r="C2">
        <v>273.18</v>
      </c>
      <c r="D2">
        <v>10</v>
      </c>
      <c r="E2">
        <v>71.400000000000006</v>
      </c>
    </row>
    <row r="3" spans="1:5" x14ac:dyDescent="0.35">
      <c r="A3">
        <v>2021</v>
      </c>
      <c r="B3">
        <v>63</v>
      </c>
      <c r="C3">
        <v>100.52</v>
      </c>
      <c r="D3">
        <v>38</v>
      </c>
      <c r="E3">
        <v>60.3</v>
      </c>
    </row>
    <row r="4" spans="1:5" x14ac:dyDescent="0.35">
      <c r="A4">
        <v>2022</v>
      </c>
      <c r="B4">
        <v>38</v>
      </c>
      <c r="C4">
        <v>70.459999999999994</v>
      </c>
      <c r="D4">
        <v>21</v>
      </c>
      <c r="E4">
        <v>55.3</v>
      </c>
    </row>
    <row r="5" spans="1:5" x14ac:dyDescent="0.35">
      <c r="A5">
        <v>2023</v>
      </c>
      <c r="B5">
        <v>59</v>
      </c>
      <c r="C5">
        <v>55.71</v>
      </c>
      <c r="D5">
        <v>35</v>
      </c>
      <c r="E5">
        <v>59.3</v>
      </c>
    </row>
    <row r="6" spans="1:5" x14ac:dyDescent="0.35">
      <c r="A6">
        <v>2024</v>
      </c>
      <c r="B6">
        <v>90</v>
      </c>
      <c r="C6">
        <v>17.239999999999998</v>
      </c>
      <c r="D6">
        <v>44</v>
      </c>
      <c r="E6">
        <v>48.9</v>
      </c>
    </row>
    <row r="7" spans="1:5" x14ac:dyDescent="0.35">
      <c r="A7">
        <v>2025</v>
      </c>
      <c r="B7">
        <v>103</v>
      </c>
      <c r="C7">
        <v>12.86</v>
      </c>
      <c r="D7">
        <v>48</v>
      </c>
      <c r="E7">
        <v>46.6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3932-5D8B-4F60-AF96-557BE504C060}">
  <dimension ref="A1:E370"/>
  <sheetViews>
    <sheetView workbookViewId="0"/>
  </sheetViews>
  <sheetFormatPr defaultRowHeight="14.5" x14ac:dyDescent="0.35"/>
  <cols>
    <col min="1" max="1" width="47.26953125" bestFit="1" customWidth="1"/>
    <col min="2" max="2" width="6.6328125" bestFit="1" customWidth="1"/>
    <col min="3" max="3" width="12.08984375" bestFit="1" customWidth="1"/>
    <col min="4" max="4" width="15.1796875" bestFit="1" customWidth="1"/>
    <col min="5" max="5" width="30.1796875" bestFit="1" customWidth="1"/>
  </cols>
  <sheetData>
    <row r="1" spans="1:5" x14ac:dyDescent="0.35">
      <c r="A1" t="s">
        <v>11</v>
      </c>
      <c r="B1" t="s">
        <v>0</v>
      </c>
      <c r="C1" t="s">
        <v>12</v>
      </c>
      <c r="D1" t="s">
        <v>13</v>
      </c>
      <c r="E1" t="s">
        <v>14</v>
      </c>
    </row>
    <row r="2" spans="1:5" x14ac:dyDescent="0.35">
      <c r="A2" s="1" t="s">
        <v>15</v>
      </c>
      <c r="B2">
        <v>2024</v>
      </c>
      <c r="C2">
        <v>32.86</v>
      </c>
      <c r="D2">
        <v>98.52</v>
      </c>
      <c r="E2" s="1" t="s">
        <v>16</v>
      </c>
    </row>
    <row r="3" spans="1:5" x14ac:dyDescent="0.35">
      <c r="A3" s="1" t="s">
        <v>17</v>
      </c>
      <c r="B3">
        <v>2023</v>
      </c>
      <c r="C3">
        <v>20.85</v>
      </c>
      <c r="D3">
        <v>94.59</v>
      </c>
      <c r="E3" s="1" t="s">
        <v>16</v>
      </c>
    </row>
    <row r="4" spans="1:5" x14ac:dyDescent="0.35">
      <c r="A4" s="1" t="s">
        <v>18</v>
      </c>
      <c r="B4">
        <v>2024</v>
      </c>
      <c r="C4">
        <v>20.93</v>
      </c>
      <c r="D4">
        <v>93.12</v>
      </c>
      <c r="E4" s="1" t="s">
        <v>16</v>
      </c>
    </row>
    <row r="5" spans="1:5" x14ac:dyDescent="0.35">
      <c r="A5" s="1" t="s">
        <v>19</v>
      </c>
      <c r="B5">
        <v>2024</v>
      </c>
      <c r="C5">
        <v>-16.45</v>
      </c>
      <c r="D5">
        <v>91.02</v>
      </c>
      <c r="E5" s="1" t="s">
        <v>16</v>
      </c>
    </row>
    <row r="6" spans="1:5" x14ac:dyDescent="0.35">
      <c r="A6" s="1" t="s">
        <v>20</v>
      </c>
      <c r="B6">
        <v>2025</v>
      </c>
      <c r="C6">
        <v>31.33</v>
      </c>
      <c r="D6">
        <v>90.05</v>
      </c>
      <c r="E6" s="1" t="s">
        <v>16</v>
      </c>
    </row>
    <row r="7" spans="1:5" x14ac:dyDescent="0.35">
      <c r="A7" s="1" t="s">
        <v>21</v>
      </c>
      <c r="B7">
        <v>2025</v>
      </c>
      <c r="C7">
        <v>2.25</v>
      </c>
      <c r="D7">
        <v>89.52</v>
      </c>
      <c r="E7" s="1" t="s">
        <v>16</v>
      </c>
    </row>
    <row r="8" spans="1:5" x14ac:dyDescent="0.35">
      <c r="A8" s="1" t="s">
        <v>22</v>
      </c>
      <c r="B8">
        <v>2024</v>
      </c>
      <c r="C8">
        <v>-4.74</v>
      </c>
      <c r="D8">
        <v>88.9</v>
      </c>
      <c r="E8" s="1" t="s">
        <v>16</v>
      </c>
    </row>
    <row r="9" spans="1:5" x14ac:dyDescent="0.35">
      <c r="A9" s="1" t="s">
        <v>23</v>
      </c>
      <c r="B9">
        <v>2025</v>
      </c>
      <c r="C9">
        <v>-8.0299999999999994</v>
      </c>
      <c r="D9">
        <v>88.5</v>
      </c>
      <c r="E9" s="1" t="s">
        <v>16</v>
      </c>
    </row>
    <row r="10" spans="1:5" x14ac:dyDescent="0.35">
      <c r="A10" s="1" t="s">
        <v>24</v>
      </c>
      <c r="B10">
        <v>2025</v>
      </c>
      <c r="C10">
        <v>40.67</v>
      </c>
      <c r="D10">
        <v>88.5</v>
      </c>
      <c r="E10" s="1" t="s">
        <v>16</v>
      </c>
    </row>
    <row r="11" spans="1:5" x14ac:dyDescent="0.35">
      <c r="A11" s="1" t="s">
        <v>25</v>
      </c>
      <c r="B11">
        <v>2022</v>
      </c>
      <c r="C11">
        <v>43.22</v>
      </c>
      <c r="D11">
        <v>85.85</v>
      </c>
      <c r="E11" s="1" t="s">
        <v>16</v>
      </c>
    </row>
    <row r="12" spans="1:5" x14ac:dyDescent="0.35">
      <c r="A12" s="1" t="s">
        <v>26</v>
      </c>
      <c r="B12">
        <v>2022</v>
      </c>
      <c r="C12">
        <v>0.74</v>
      </c>
      <c r="D12">
        <v>82.91</v>
      </c>
      <c r="E12" s="1" t="s">
        <v>16</v>
      </c>
    </row>
    <row r="13" spans="1:5" x14ac:dyDescent="0.35">
      <c r="A13" s="1" t="s">
        <v>27</v>
      </c>
      <c r="B13">
        <v>2025</v>
      </c>
      <c r="C13">
        <v>1.23</v>
      </c>
      <c r="D13">
        <v>82.58</v>
      </c>
      <c r="E13" s="1" t="s">
        <v>16</v>
      </c>
    </row>
    <row r="14" spans="1:5" x14ac:dyDescent="0.35">
      <c r="A14" s="1" t="s">
        <v>28</v>
      </c>
      <c r="B14">
        <v>2021</v>
      </c>
      <c r="C14">
        <v>-4.2699999999999996</v>
      </c>
      <c r="D14">
        <v>81.45</v>
      </c>
      <c r="E14" s="1" t="s">
        <v>16</v>
      </c>
    </row>
    <row r="15" spans="1:5" x14ac:dyDescent="0.35">
      <c r="A15" s="1" t="s">
        <v>29</v>
      </c>
      <c r="B15">
        <v>2021</v>
      </c>
      <c r="C15">
        <v>-19.989999999999998</v>
      </c>
      <c r="D15">
        <v>81.33</v>
      </c>
      <c r="E15" s="1" t="s">
        <v>16</v>
      </c>
    </row>
    <row r="16" spans="1:5" x14ac:dyDescent="0.35">
      <c r="A16" s="1" t="s">
        <v>30</v>
      </c>
      <c r="B16">
        <v>2024</v>
      </c>
      <c r="C16">
        <v>31.18</v>
      </c>
      <c r="D16">
        <v>80.56</v>
      </c>
      <c r="E16" s="1" t="s">
        <v>16</v>
      </c>
    </row>
    <row r="17" spans="1:5" x14ac:dyDescent="0.35">
      <c r="A17" s="1" t="s">
        <v>31</v>
      </c>
      <c r="B17">
        <v>2023</v>
      </c>
      <c r="C17">
        <v>46.36</v>
      </c>
      <c r="D17">
        <v>79.47</v>
      </c>
      <c r="E17" s="1" t="s">
        <v>16</v>
      </c>
    </row>
    <row r="18" spans="1:5" x14ac:dyDescent="0.35">
      <c r="A18" s="1" t="s">
        <v>32</v>
      </c>
      <c r="B18">
        <v>2024</v>
      </c>
      <c r="C18">
        <v>11.96</v>
      </c>
      <c r="D18">
        <v>79.11</v>
      </c>
      <c r="E18" s="1" t="s">
        <v>16</v>
      </c>
    </row>
    <row r="19" spans="1:5" x14ac:dyDescent="0.35">
      <c r="A19" s="1" t="s">
        <v>33</v>
      </c>
      <c r="B19">
        <v>2022</v>
      </c>
      <c r="C19">
        <v>20.62</v>
      </c>
      <c r="D19">
        <v>78.010000000000005</v>
      </c>
      <c r="E19" s="1" t="s">
        <v>16</v>
      </c>
    </row>
    <row r="20" spans="1:5" x14ac:dyDescent="0.35">
      <c r="A20" s="1" t="s">
        <v>34</v>
      </c>
      <c r="B20">
        <v>2025</v>
      </c>
      <c r="C20">
        <v>-8.67</v>
      </c>
      <c r="D20">
        <v>76.48</v>
      </c>
      <c r="E20" s="1" t="s">
        <v>16</v>
      </c>
    </row>
    <row r="21" spans="1:5" x14ac:dyDescent="0.35">
      <c r="A21" s="1" t="s">
        <v>35</v>
      </c>
      <c r="B21">
        <v>2021</v>
      </c>
      <c r="C21">
        <v>-11.49</v>
      </c>
      <c r="D21">
        <v>76.2</v>
      </c>
      <c r="E21" s="1" t="s">
        <v>16</v>
      </c>
    </row>
    <row r="22" spans="1:5" x14ac:dyDescent="0.35">
      <c r="A22" s="1" t="s">
        <v>36</v>
      </c>
      <c r="B22">
        <v>2023</v>
      </c>
      <c r="C22">
        <v>31.99</v>
      </c>
      <c r="D22">
        <v>74.08</v>
      </c>
      <c r="E22" s="1" t="s">
        <v>16</v>
      </c>
    </row>
    <row r="23" spans="1:5" x14ac:dyDescent="0.35">
      <c r="A23" s="1" t="s">
        <v>37</v>
      </c>
      <c r="B23">
        <v>2024</v>
      </c>
      <c r="C23">
        <v>3.38</v>
      </c>
      <c r="D23">
        <v>73.459999999999994</v>
      </c>
      <c r="E23" s="1" t="s">
        <v>16</v>
      </c>
    </row>
    <row r="24" spans="1:5" x14ac:dyDescent="0.35">
      <c r="A24" s="1" t="s">
        <v>38</v>
      </c>
      <c r="B24">
        <v>2024</v>
      </c>
      <c r="C24">
        <v>43.13</v>
      </c>
      <c r="D24">
        <v>73.13</v>
      </c>
      <c r="E24" s="1" t="s">
        <v>16</v>
      </c>
    </row>
    <row r="25" spans="1:5" x14ac:dyDescent="0.35">
      <c r="A25" s="1" t="s">
        <v>39</v>
      </c>
      <c r="B25">
        <v>2022</v>
      </c>
      <c r="C25">
        <v>-4.2</v>
      </c>
      <c r="D25">
        <v>73.099999999999994</v>
      </c>
      <c r="E25" s="1" t="s">
        <v>16</v>
      </c>
    </row>
    <row r="26" spans="1:5" x14ac:dyDescent="0.35">
      <c r="A26" s="1" t="s">
        <v>40</v>
      </c>
      <c r="B26">
        <v>2024</v>
      </c>
      <c r="C26">
        <v>34.840000000000003</v>
      </c>
      <c r="D26">
        <v>73.09</v>
      </c>
      <c r="E26" s="1" t="s">
        <v>16</v>
      </c>
    </row>
    <row r="27" spans="1:5" x14ac:dyDescent="0.35">
      <c r="A27" s="1" t="s">
        <v>41</v>
      </c>
      <c r="B27">
        <v>2023</v>
      </c>
      <c r="C27">
        <v>58.72</v>
      </c>
      <c r="D27">
        <v>72.81</v>
      </c>
      <c r="E27" s="1" t="s">
        <v>16</v>
      </c>
    </row>
    <row r="28" spans="1:5" x14ac:dyDescent="0.35">
      <c r="A28" s="1" t="s">
        <v>42</v>
      </c>
      <c r="B28">
        <v>2021</v>
      </c>
      <c r="C28">
        <v>15.83</v>
      </c>
      <c r="D28">
        <v>69.42</v>
      </c>
      <c r="E28" s="1" t="s">
        <v>16</v>
      </c>
    </row>
    <row r="29" spans="1:5" x14ac:dyDescent="0.35">
      <c r="A29" s="1" t="s">
        <v>43</v>
      </c>
      <c r="B29">
        <v>2020</v>
      </c>
      <c r="C29">
        <v>-14.04</v>
      </c>
      <c r="D29">
        <v>67.69</v>
      </c>
      <c r="E29" s="1" t="s">
        <v>16</v>
      </c>
    </row>
    <row r="30" spans="1:5" x14ac:dyDescent="0.35">
      <c r="A30" s="1" t="s">
        <v>44</v>
      </c>
      <c r="B30">
        <v>2023</v>
      </c>
      <c r="C30">
        <v>27.23</v>
      </c>
      <c r="D30">
        <v>67.040000000000006</v>
      </c>
      <c r="E30" s="1" t="s">
        <v>16</v>
      </c>
    </row>
    <row r="31" spans="1:5" x14ac:dyDescent="0.35">
      <c r="A31" s="1" t="s">
        <v>45</v>
      </c>
      <c r="B31">
        <v>2024</v>
      </c>
      <c r="C31">
        <v>171.11</v>
      </c>
      <c r="D31">
        <v>66.7</v>
      </c>
      <c r="E31" s="1" t="s">
        <v>16</v>
      </c>
    </row>
    <row r="32" spans="1:5" x14ac:dyDescent="0.35">
      <c r="A32" s="1" t="s">
        <v>46</v>
      </c>
      <c r="B32">
        <v>2024</v>
      </c>
      <c r="C32">
        <v>78.19</v>
      </c>
      <c r="D32">
        <v>64.459999999999994</v>
      </c>
      <c r="E32" s="1" t="s">
        <v>16</v>
      </c>
    </row>
    <row r="33" spans="1:5" x14ac:dyDescent="0.35">
      <c r="A33" s="1" t="s">
        <v>47</v>
      </c>
      <c r="B33">
        <v>2023</v>
      </c>
      <c r="C33">
        <v>61.75</v>
      </c>
      <c r="D33">
        <v>63.7</v>
      </c>
      <c r="E33" s="1" t="s">
        <v>16</v>
      </c>
    </row>
    <row r="34" spans="1:5" x14ac:dyDescent="0.35">
      <c r="A34" s="1" t="s">
        <v>48</v>
      </c>
      <c r="B34">
        <v>2023</v>
      </c>
      <c r="C34">
        <v>21.27</v>
      </c>
      <c r="D34">
        <v>63.4</v>
      </c>
      <c r="E34" s="1" t="s">
        <v>16</v>
      </c>
    </row>
    <row r="35" spans="1:5" x14ac:dyDescent="0.35">
      <c r="A35" s="1" t="s">
        <v>49</v>
      </c>
      <c r="B35">
        <v>2025</v>
      </c>
      <c r="C35">
        <v>35.44</v>
      </c>
      <c r="D35">
        <v>60.26</v>
      </c>
      <c r="E35" s="1" t="s">
        <v>16</v>
      </c>
    </row>
    <row r="36" spans="1:5" x14ac:dyDescent="0.35">
      <c r="A36" s="1" t="s">
        <v>50</v>
      </c>
      <c r="B36">
        <v>2025</v>
      </c>
      <c r="C36">
        <v>18.13</v>
      </c>
      <c r="D36">
        <v>57.18</v>
      </c>
      <c r="E36" s="1" t="s">
        <v>16</v>
      </c>
    </row>
    <row r="37" spans="1:5" x14ac:dyDescent="0.35">
      <c r="A37" s="1" t="s">
        <v>51</v>
      </c>
      <c r="B37">
        <v>2021</v>
      </c>
      <c r="C37">
        <v>22.68</v>
      </c>
      <c r="D37">
        <v>56.84</v>
      </c>
      <c r="E37" s="1" t="s">
        <v>16</v>
      </c>
    </row>
    <row r="38" spans="1:5" x14ac:dyDescent="0.35">
      <c r="A38" s="1" t="s">
        <v>52</v>
      </c>
      <c r="B38">
        <v>2021</v>
      </c>
      <c r="C38">
        <v>148.1</v>
      </c>
      <c r="D38">
        <v>55.41</v>
      </c>
      <c r="E38" s="1" t="s">
        <v>16</v>
      </c>
    </row>
    <row r="39" spans="1:5" x14ac:dyDescent="0.35">
      <c r="A39" s="1" t="s">
        <v>53</v>
      </c>
      <c r="B39">
        <v>2023</v>
      </c>
      <c r="C39">
        <v>10.49</v>
      </c>
      <c r="D39">
        <v>54.74</v>
      </c>
      <c r="E39" s="1" t="s">
        <v>16</v>
      </c>
    </row>
    <row r="40" spans="1:5" x14ac:dyDescent="0.35">
      <c r="A40" s="1" t="s">
        <v>54</v>
      </c>
      <c r="B40">
        <v>2025</v>
      </c>
      <c r="C40">
        <v>-8.58</v>
      </c>
      <c r="D40">
        <v>54.67</v>
      </c>
      <c r="E40" s="1" t="s">
        <v>16</v>
      </c>
    </row>
    <row r="41" spans="1:5" x14ac:dyDescent="0.35">
      <c r="A41" s="1" t="s">
        <v>55</v>
      </c>
      <c r="B41">
        <v>2023</v>
      </c>
      <c r="C41">
        <v>9.9600000000000009</v>
      </c>
      <c r="D41">
        <v>54.36</v>
      </c>
      <c r="E41" s="1" t="s">
        <v>16</v>
      </c>
    </row>
    <row r="42" spans="1:5" x14ac:dyDescent="0.35">
      <c r="A42" s="1" t="s">
        <v>56</v>
      </c>
      <c r="B42">
        <v>2025</v>
      </c>
      <c r="C42">
        <v>37.090000000000003</v>
      </c>
      <c r="D42">
        <v>54.14</v>
      </c>
      <c r="E42" s="1" t="s">
        <v>16</v>
      </c>
    </row>
    <row r="43" spans="1:5" x14ac:dyDescent="0.35">
      <c r="A43" s="1" t="s">
        <v>57</v>
      </c>
      <c r="B43">
        <v>2024</v>
      </c>
      <c r="C43">
        <v>159.26</v>
      </c>
      <c r="D43">
        <v>52.96</v>
      </c>
      <c r="E43" s="1" t="s">
        <v>16</v>
      </c>
    </row>
    <row r="44" spans="1:5" x14ac:dyDescent="0.35">
      <c r="A44" s="1" t="s">
        <v>58</v>
      </c>
      <c r="B44">
        <v>2025</v>
      </c>
      <c r="C44">
        <v>19.440000000000001</v>
      </c>
      <c r="D44">
        <v>52.94</v>
      </c>
      <c r="E44" s="1" t="s">
        <v>16</v>
      </c>
    </row>
    <row r="45" spans="1:5" x14ac:dyDescent="0.35">
      <c r="A45" s="1" t="s">
        <v>59</v>
      </c>
      <c r="B45">
        <v>2025</v>
      </c>
      <c r="C45">
        <v>1.1100000000000001</v>
      </c>
      <c r="D45">
        <v>51.68</v>
      </c>
      <c r="E45" s="1" t="s">
        <v>16</v>
      </c>
    </row>
    <row r="46" spans="1:5" x14ac:dyDescent="0.35">
      <c r="A46" s="1" t="s">
        <v>60</v>
      </c>
      <c r="B46">
        <v>2024</v>
      </c>
      <c r="C46">
        <v>43.5</v>
      </c>
      <c r="D46">
        <v>51.6</v>
      </c>
      <c r="E46" s="1" t="s">
        <v>16</v>
      </c>
    </row>
    <row r="47" spans="1:5" x14ac:dyDescent="0.35">
      <c r="A47" s="1" t="s">
        <v>61</v>
      </c>
      <c r="B47">
        <v>2020</v>
      </c>
      <c r="C47">
        <v>86.09</v>
      </c>
      <c r="D47">
        <v>50.61</v>
      </c>
      <c r="E47" s="1" t="s">
        <v>16</v>
      </c>
    </row>
    <row r="48" spans="1:5" x14ac:dyDescent="0.35">
      <c r="A48" s="1" t="s">
        <v>62</v>
      </c>
      <c r="B48">
        <v>2023</v>
      </c>
      <c r="C48">
        <v>162.6</v>
      </c>
      <c r="D48">
        <v>49.76</v>
      </c>
      <c r="E48" s="1" t="s">
        <v>16</v>
      </c>
    </row>
    <row r="49" spans="1:5" x14ac:dyDescent="0.35">
      <c r="A49" s="1" t="s">
        <v>63</v>
      </c>
      <c r="B49">
        <v>2024</v>
      </c>
      <c r="C49">
        <v>4.59</v>
      </c>
      <c r="D49">
        <v>49.06</v>
      </c>
      <c r="E49" s="1" t="s">
        <v>16</v>
      </c>
    </row>
    <row r="50" spans="1:5" x14ac:dyDescent="0.35">
      <c r="A50" s="1" t="s">
        <v>64</v>
      </c>
      <c r="B50">
        <v>2025</v>
      </c>
      <c r="C50">
        <v>53.23</v>
      </c>
      <c r="D50">
        <v>49.01</v>
      </c>
      <c r="E50" s="1" t="s">
        <v>16</v>
      </c>
    </row>
    <row r="51" spans="1:5" x14ac:dyDescent="0.35">
      <c r="A51" s="1" t="s">
        <v>65</v>
      </c>
      <c r="B51">
        <v>2020</v>
      </c>
      <c r="C51">
        <v>21.3</v>
      </c>
      <c r="D51">
        <v>48.06</v>
      </c>
      <c r="E51" s="1" t="s">
        <v>16</v>
      </c>
    </row>
    <row r="52" spans="1:5" x14ac:dyDescent="0.35">
      <c r="A52" s="1" t="s">
        <v>66</v>
      </c>
      <c r="B52">
        <v>2022</v>
      </c>
      <c r="C52">
        <v>-7.0000000000000007E-2</v>
      </c>
      <c r="D52">
        <v>46.73</v>
      </c>
      <c r="E52" s="1" t="s">
        <v>16</v>
      </c>
    </row>
    <row r="53" spans="1:5" x14ac:dyDescent="0.35">
      <c r="A53" s="1" t="s">
        <v>67</v>
      </c>
      <c r="B53">
        <v>2025</v>
      </c>
      <c r="C53">
        <v>23.63</v>
      </c>
      <c r="D53">
        <v>46.66</v>
      </c>
      <c r="E53" s="1" t="s">
        <v>16</v>
      </c>
    </row>
    <row r="54" spans="1:5" x14ac:dyDescent="0.35">
      <c r="A54" s="1" t="s">
        <v>68</v>
      </c>
      <c r="B54">
        <v>2021</v>
      </c>
      <c r="C54">
        <v>-1.76</v>
      </c>
      <c r="D54">
        <v>45.45</v>
      </c>
      <c r="E54" s="1" t="s">
        <v>16</v>
      </c>
    </row>
    <row r="55" spans="1:5" x14ac:dyDescent="0.35">
      <c r="A55" s="1" t="s">
        <v>69</v>
      </c>
      <c r="B55">
        <v>2025</v>
      </c>
      <c r="C55">
        <v>22.01</v>
      </c>
      <c r="D55">
        <v>45.32</v>
      </c>
      <c r="E55" s="1" t="s">
        <v>16</v>
      </c>
    </row>
    <row r="56" spans="1:5" x14ac:dyDescent="0.35">
      <c r="A56" s="1" t="s">
        <v>70</v>
      </c>
      <c r="B56">
        <v>2021</v>
      </c>
      <c r="C56">
        <v>3.96</v>
      </c>
      <c r="D56">
        <v>43.88</v>
      </c>
      <c r="E56" s="1" t="s">
        <v>16</v>
      </c>
    </row>
    <row r="57" spans="1:5" x14ac:dyDescent="0.35">
      <c r="A57" s="1" t="s">
        <v>71</v>
      </c>
      <c r="B57">
        <v>2025</v>
      </c>
      <c r="C57">
        <v>2.4500000000000002</v>
      </c>
      <c r="D57">
        <v>43.76</v>
      </c>
      <c r="E57" s="1" t="s">
        <v>16</v>
      </c>
    </row>
    <row r="58" spans="1:5" x14ac:dyDescent="0.35">
      <c r="A58" s="1" t="s">
        <v>72</v>
      </c>
      <c r="B58">
        <v>2021</v>
      </c>
      <c r="C58">
        <v>29.32</v>
      </c>
      <c r="D58">
        <v>41.41</v>
      </c>
      <c r="E58" s="1" t="s">
        <v>16</v>
      </c>
    </row>
    <row r="59" spans="1:5" x14ac:dyDescent="0.35">
      <c r="A59" s="1" t="s">
        <v>73</v>
      </c>
      <c r="B59">
        <v>2021</v>
      </c>
      <c r="C59">
        <v>10.28</v>
      </c>
      <c r="D59">
        <v>41.25</v>
      </c>
      <c r="E59" s="1" t="s">
        <v>16</v>
      </c>
    </row>
    <row r="60" spans="1:5" x14ac:dyDescent="0.35">
      <c r="A60" s="1" t="s">
        <v>74</v>
      </c>
      <c r="B60">
        <v>2023</v>
      </c>
      <c r="C60">
        <v>32.65</v>
      </c>
      <c r="D60">
        <v>39.83</v>
      </c>
      <c r="E60" s="1" t="s">
        <v>16</v>
      </c>
    </row>
    <row r="61" spans="1:5" x14ac:dyDescent="0.35">
      <c r="A61" s="1" t="s">
        <v>75</v>
      </c>
      <c r="B61">
        <v>2024</v>
      </c>
      <c r="C61">
        <v>75.319999999999993</v>
      </c>
      <c r="D61">
        <v>39.43</v>
      </c>
      <c r="E61" s="1" t="s">
        <v>16</v>
      </c>
    </row>
    <row r="62" spans="1:5" x14ac:dyDescent="0.35">
      <c r="A62" s="1" t="s">
        <v>76</v>
      </c>
      <c r="B62">
        <v>2023</v>
      </c>
      <c r="C62">
        <v>19.48</v>
      </c>
      <c r="D62">
        <v>37.51</v>
      </c>
      <c r="E62" s="1" t="s">
        <v>16</v>
      </c>
    </row>
    <row r="63" spans="1:5" x14ac:dyDescent="0.35">
      <c r="A63" s="1" t="s">
        <v>77</v>
      </c>
      <c r="B63">
        <v>2024</v>
      </c>
      <c r="C63">
        <v>-2.27</v>
      </c>
      <c r="D63">
        <v>33.770000000000003</v>
      </c>
      <c r="E63" s="1" t="s">
        <v>16</v>
      </c>
    </row>
    <row r="64" spans="1:5" x14ac:dyDescent="0.35">
      <c r="A64" s="1" t="s">
        <v>78</v>
      </c>
      <c r="B64">
        <v>2023</v>
      </c>
      <c r="C64">
        <v>92.7</v>
      </c>
      <c r="D64">
        <v>33.72</v>
      </c>
      <c r="E64" s="1" t="s">
        <v>16</v>
      </c>
    </row>
    <row r="65" spans="1:5" x14ac:dyDescent="0.35">
      <c r="A65" s="1" t="s">
        <v>79</v>
      </c>
      <c r="B65">
        <v>2024</v>
      </c>
      <c r="C65">
        <v>52.86</v>
      </c>
      <c r="D65">
        <v>32.82</v>
      </c>
      <c r="E65" s="1" t="s">
        <v>16</v>
      </c>
    </row>
    <row r="66" spans="1:5" x14ac:dyDescent="0.35">
      <c r="A66" s="1" t="s">
        <v>80</v>
      </c>
      <c r="B66">
        <v>2023</v>
      </c>
      <c r="C66">
        <v>13.81</v>
      </c>
      <c r="D66">
        <v>32.78</v>
      </c>
      <c r="E66" s="1" t="s">
        <v>16</v>
      </c>
    </row>
    <row r="67" spans="1:5" x14ac:dyDescent="0.35">
      <c r="A67" s="1" t="s">
        <v>81</v>
      </c>
      <c r="B67">
        <v>2023</v>
      </c>
      <c r="C67">
        <v>37.31</v>
      </c>
      <c r="D67">
        <v>32.75</v>
      </c>
      <c r="E67" s="1" t="s">
        <v>16</v>
      </c>
    </row>
    <row r="68" spans="1:5" x14ac:dyDescent="0.35">
      <c r="A68" s="1" t="s">
        <v>82</v>
      </c>
      <c r="B68">
        <v>2023</v>
      </c>
      <c r="C68">
        <v>2.58</v>
      </c>
      <c r="D68">
        <v>32.659999999999997</v>
      </c>
      <c r="E68" s="1" t="s">
        <v>16</v>
      </c>
    </row>
    <row r="69" spans="1:5" x14ac:dyDescent="0.35">
      <c r="A69" s="1" t="s">
        <v>83</v>
      </c>
      <c r="B69">
        <v>2025</v>
      </c>
      <c r="C69">
        <v>48.24</v>
      </c>
      <c r="D69">
        <v>32.46</v>
      </c>
      <c r="E69" s="1" t="s">
        <v>16</v>
      </c>
    </row>
    <row r="70" spans="1:5" x14ac:dyDescent="0.35">
      <c r="A70" s="1" t="s">
        <v>84</v>
      </c>
      <c r="B70">
        <v>2025</v>
      </c>
      <c r="C70">
        <v>20</v>
      </c>
      <c r="D70">
        <v>32.049999999999997</v>
      </c>
      <c r="E70" s="1" t="s">
        <v>16</v>
      </c>
    </row>
    <row r="71" spans="1:5" x14ac:dyDescent="0.35">
      <c r="A71" s="1" t="s">
        <v>85</v>
      </c>
      <c r="B71">
        <v>2022</v>
      </c>
      <c r="C71">
        <v>12.57</v>
      </c>
      <c r="D71">
        <v>30.93</v>
      </c>
      <c r="E71" s="1" t="s">
        <v>16</v>
      </c>
    </row>
    <row r="72" spans="1:5" x14ac:dyDescent="0.35">
      <c r="A72" s="1" t="s">
        <v>86</v>
      </c>
      <c r="B72">
        <v>2025</v>
      </c>
      <c r="C72">
        <v>28.13</v>
      </c>
      <c r="D72">
        <v>30.8</v>
      </c>
      <c r="E72" s="1" t="s">
        <v>16</v>
      </c>
    </row>
    <row r="73" spans="1:5" x14ac:dyDescent="0.35">
      <c r="A73" s="1" t="s">
        <v>87</v>
      </c>
      <c r="B73">
        <v>2021</v>
      </c>
      <c r="C73">
        <v>267.18</v>
      </c>
      <c r="D73">
        <v>30.12</v>
      </c>
      <c r="E73" s="1" t="s">
        <v>16</v>
      </c>
    </row>
    <row r="74" spans="1:5" x14ac:dyDescent="0.35">
      <c r="A74" s="1" t="s">
        <v>88</v>
      </c>
      <c r="B74">
        <v>2025</v>
      </c>
      <c r="C74">
        <v>5.1100000000000003</v>
      </c>
      <c r="D74">
        <v>28.87</v>
      </c>
      <c r="E74" s="1" t="s">
        <v>16</v>
      </c>
    </row>
    <row r="75" spans="1:5" x14ac:dyDescent="0.35">
      <c r="A75" s="1" t="s">
        <v>89</v>
      </c>
      <c r="B75">
        <v>2025</v>
      </c>
      <c r="C75">
        <v>19.010000000000002</v>
      </c>
      <c r="D75">
        <v>28.72</v>
      </c>
      <c r="E75" s="1" t="s">
        <v>16</v>
      </c>
    </row>
    <row r="76" spans="1:5" x14ac:dyDescent="0.35">
      <c r="A76" s="1" t="s">
        <v>90</v>
      </c>
      <c r="B76">
        <v>2023</v>
      </c>
      <c r="C76">
        <v>4.04</v>
      </c>
      <c r="D76">
        <v>28.63</v>
      </c>
      <c r="E76" s="1" t="s">
        <v>16</v>
      </c>
    </row>
    <row r="77" spans="1:5" x14ac:dyDescent="0.35">
      <c r="A77" s="1" t="s">
        <v>91</v>
      </c>
      <c r="B77">
        <v>2025</v>
      </c>
      <c r="C77">
        <v>0.27</v>
      </c>
      <c r="D77">
        <v>27.6</v>
      </c>
      <c r="E77" s="1" t="s">
        <v>16</v>
      </c>
    </row>
    <row r="78" spans="1:5" x14ac:dyDescent="0.35">
      <c r="A78" s="1" t="s">
        <v>92</v>
      </c>
      <c r="B78">
        <v>2025</v>
      </c>
      <c r="C78">
        <v>12.05</v>
      </c>
      <c r="D78">
        <v>27.55</v>
      </c>
      <c r="E78" s="1" t="s">
        <v>16</v>
      </c>
    </row>
    <row r="79" spans="1:5" x14ac:dyDescent="0.35">
      <c r="A79" s="1" t="s">
        <v>93</v>
      </c>
      <c r="B79">
        <v>2025</v>
      </c>
      <c r="C79">
        <v>7.62</v>
      </c>
      <c r="D79">
        <v>27.4</v>
      </c>
      <c r="E79" s="1" t="s">
        <v>16</v>
      </c>
    </row>
    <row r="80" spans="1:5" x14ac:dyDescent="0.35">
      <c r="A80" s="1" t="s">
        <v>94</v>
      </c>
      <c r="B80">
        <v>2024</v>
      </c>
      <c r="C80">
        <v>29.36</v>
      </c>
      <c r="D80">
        <v>26.43</v>
      </c>
      <c r="E80" s="1" t="s">
        <v>16</v>
      </c>
    </row>
    <row r="81" spans="1:5" x14ac:dyDescent="0.35">
      <c r="A81" s="1" t="s">
        <v>95</v>
      </c>
      <c r="B81">
        <v>2023</v>
      </c>
      <c r="C81">
        <v>5</v>
      </c>
      <c r="D81">
        <v>25.95</v>
      </c>
      <c r="E81" s="1" t="s">
        <v>16</v>
      </c>
    </row>
    <row r="82" spans="1:5" x14ac:dyDescent="0.35">
      <c r="A82" s="1" t="s">
        <v>96</v>
      </c>
      <c r="B82">
        <v>2021</v>
      </c>
      <c r="C82">
        <v>26.5</v>
      </c>
      <c r="D82">
        <v>23.92</v>
      </c>
      <c r="E82" s="1" t="s">
        <v>16</v>
      </c>
    </row>
    <row r="83" spans="1:5" x14ac:dyDescent="0.35">
      <c r="A83" s="1" t="s">
        <v>97</v>
      </c>
      <c r="B83">
        <v>2024</v>
      </c>
      <c r="C83">
        <v>20.98</v>
      </c>
      <c r="D83">
        <v>23.19</v>
      </c>
      <c r="E83" s="1" t="s">
        <v>16</v>
      </c>
    </row>
    <row r="84" spans="1:5" x14ac:dyDescent="0.35">
      <c r="A84" s="1" t="s">
        <v>98</v>
      </c>
      <c r="B84">
        <v>2023</v>
      </c>
      <c r="C84">
        <v>-3.45</v>
      </c>
      <c r="D84">
        <v>22.93</v>
      </c>
      <c r="E84" s="1" t="s">
        <v>16</v>
      </c>
    </row>
    <row r="85" spans="1:5" x14ac:dyDescent="0.35">
      <c r="A85" s="1" t="s">
        <v>99</v>
      </c>
      <c r="B85">
        <v>2024</v>
      </c>
      <c r="C85">
        <v>21.13</v>
      </c>
      <c r="D85">
        <v>20.74</v>
      </c>
      <c r="E85" s="1" t="s">
        <v>16</v>
      </c>
    </row>
    <row r="86" spans="1:5" x14ac:dyDescent="0.35">
      <c r="A86" s="1" t="s">
        <v>100</v>
      </c>
      <c r="B86">
        <v>2024</v>
      </c>
      <c r="C86">
        <v>-12.4</v>
      </c>
      <c r="D86">
        <v>19.78</v>
      </c>
      <c r="E86" s="1" t="s">
        <v>16</v>
      </c>
    </row>
    <row r="87" spans="1:5" x14ac:dyDescent="0.35">
      <c r="A87" s="1" t="s">
        <v>101</v>
      </c>
      <c r="B87">
        <v>2021</v>
      </c>
      <c r="C87">
        <v>-7.23</v>
      </c>
      <c r="D87">
        <v>18.190000000000001</v>
      </c>
      <c r="E87" s="1" t="s">
        <v>16</v>
      </c>
    </row>
    <row r="88" spans="1:5" x14ac:dyDescent="0.35">
      <c r="A88" s="1" t="s">
        <v>102</v>
      </c>
      <c r="B88">
        <v>2025</v>
      </c>
      <c r="C88">
        <v>7.09</v>
      </c>
      <c r="D88">
        <v>17.600000000000001</v>
      </c>
      <c r="E88" s="1" t="s">
        <v>16</v>
      </c>
    </row>
    <row r="89" spans="1:5" x14ac:dyDescent="0.35">
      <c r="A89" s="1" t="s">
        <v>103</v>
      </c>
      <c r="B89">
        <v>2022</v>
      </c>
      <c r="C89">
        <v>12.36</v>
      </c>
      <c r="D89">
        <v>17.09</v>
      </c>
      <c r="E89" s="1" t="s">
        <v>16</v>
      </c>
    </row>
    <row r="90" spans="1:5" x14ac:dyDescent="0.35">
      <c r="A90" s="1" t="s">
        <v>104</v>
      </c>
      <c r="B90">
        <v>2023</v>
      </c>
      <c r="C90">
        <v>0.49</v>
      </c>
      <c r="D90">
        <v>16.760000000000002</v>
      </c>
      <c r="E90" s="1" t="s">
        <v>16</v>
      </c>
    </row>
    <row r="91" spans="1:5" x14ac:dyDescent="0.35">
      <c r="A91" s="1" t="s">
        <v>105</v>
      </c>
      <c r="B91">
        <v>2025</v>
      </c>
      <c r="C91">
        <v>-2.29</v>
      </c>
      <c r="D91">
        <v>16.75</v>
      </c>
      <c r="E91" s="1" t="s">
        <v>16</v>
      </c>
    </row>
    <row r="92" spans="1:5" x14ac:dyDescent="0.35">
      <c r="A92" s="1" t="s">
        <v>106</v>
      </c>
      <c r="B92">
        <v>2023</v>
      </c>
      <c r="C92">
        <v>0.18</v>
      </c>
      <c r="D92">
        <v>15.96</v>
      </c>
      <c r="E92" s="1" t="s">
        <v>16</v>
      </c>
    </row>
    <row r="93" spans="1:5" x14ac:dyDescent="0.35">
      <c r="A93" s="1" t="s">
        <v>107</v>
      </c>
      <c r="B93">
        <v>2025</v>
      </c>
      <c r="C93">
        <v>-0.09</v>
      </c>
      <c r="D93">
        <v>15.68</v>
      </c>
      <c r="E93" s="1" t="s">
        <v>16</v>
      </c>
    </row>
    <row r="94" spans="1:5" x14ac:dyDescent="0.35">
      <c r="A94" s="1" t="s">
        <v>108</v>
      </c>
      <c r="B94">
        <v>2024</v>
      </c>
      <c r="C94">
        <v>28.14</v>
      </c>
      <c r="D94">
        <v>15.57</v>
      </c>
      <c r="E94" s="1" t="s">
        <v>16</v>
      </c>
    </row>
    <row r="95" spans="1:5" x14ac:dyDescent="0.35">
      <c r="A95" s="1" t="s">
        <v>109</v>
      </c>
      <c r="B95">
        <v>2025</v>
      </c>
      <c r="C95">
        <v>-8.3000000000000007</v>
      </c>
      <c r="D95">
        <v>15</v>
      </c>
      <c r="E95" s="1" t="s">
        <v>16</v>
      </c>
    </row>
    <row r="96" spans="1:5" x14ac:dyDescent="0.35">
      <c r="A96" s="1" t="s">
        <v>110</v>
      </c>
      <c r="B96">
        <v>2024</v>
      </c>
      <c r="C96">
        <v>26.31</v>
      </c>
      <c r="D96">
        <v>14.54</v>
      </c>
      <c r="E96" s="1" t="s">
        <v>16</v>
      </c>
    </row>
    <row r="97" spans="1:5" x14ac:dyDescent="0.35">
      <c r="A97" s="1" t="s">
        <v>111</v>
      </c>
      <c r="B97">
        <v>2024</v>
      </c>
      <c r="C97">
        <v>-11.07</v>
      </c>
      <c r="D97">
        <v>14.08</v>
      </c>
      <c r="E97" s="1" t="s">
        <v>16</v>
      </c>
    </row>
    <row r="98" spans="1:5" x14ac:dyDescent="0.35">
      <c r="A98" s="1" t="s">
        <v>112</v>
      </c>
      <c r="B98">
        <v>2025</v>
      </c>
      <c r="C98">
        <v>15.27</v>
      </c>
      <c r="D98">
        <v>12.11</v>
      </c>
      <c r="E98" s="1" t="s">
        <v>16</v>
      </c>
    </row>
    <row r="99" spans="1:5" x14ac:dyDescent="0.35">
      <c r="A99" s="1" t="s">
        <v>113</v>
      </c>
      <c r="B99">
        <v>2024</v>
      </c>
      <c r="C99">
        <v>12.5</v>
      </c>
      <c r="D99">
        <v>11.29</v>
      </c>
      <c r="E99" s="1" t="s">
        <v>16</v>
      </c>
    </row>
    <row r="100" spans="1:5" x14ac:dyDescent="0.35">
      <c r="A100" s="1" t="s">
        <v>114</v>
      </c>
      <c r="B100">
        <v>2025</v>
      </c>
      <c r="C100">
        <v>9.35</v>
      </c>
      <c r="D100">
        <v>10.59</v>
      </c>
      <c r="E100" s="1" t="s">
        <v>16</v>
      </c>
    </row>
    <row r="101" spans="1:5" x14ac:dyDescent="0.35">
      <c r="A101" s="1" t="s">
        <v>115</v>
      </c>
      <c r="B101">
        <v>2024</v>
      </c>
      <c r="C101">
        <v>0.03</v>
      </c>
      <c r="D101">
        <v>10.51</v>
      </c>
      <c r="E101" s="1" t="s">
        <v>16</v>
      </c>
    </row>
    <row r="102" spans="1:5" x14ac:dyDescent="0.35">
      <c r="A102" s="1" t="s">
        <v>116</v>
      </c>
      <c r="B102">
        <v>2020</v>
      </c>
      <c r="C102">
        <v>-9.8699999999999992</v>
      </c>
      <c r="D102">
        <v>10.23</v>
      </c>
      <c r="E102" s="1" t="s">
        <v>16</v>
      </c>
    </row>
    <row r="103" spans="1:5" x14ac:dyDescent="0.35">
      <c r="A103" s="1" t="s">
        <v>117</v>
      </c>
      <c r="B103">
        <v>2024</v>
      </c>
      <c r="C103">
        <v>22.97</v>
      </c>
      <c r="D103">
        <v>10.130000000000001</v>
      </c>
      <c r="E103" s="1" t="s">
        <v>16</v>
      </c>
    </row>
    <row r="104" spans="1:5" x14ac:dyDescent="0.35">
      <c r="A104" s="1" t="s">
        <v>118</v>
      </c>
      <c r="B104">
        <v>2022</v>
      </c>
      <c r="C104">
        <v>-6.47</v>
      </c>
      <c r="D104">
        <v>8.3699999999999992</v>
      </c>
      <c r="E104" s="1" t="s">
        <v>16</v>
      </c>
    </row>
    <row r="105" spans="1:5" x14ac:dyDescent="0.35">
      <c r="A105" s="1" t="s">
        <v>119</v>
      </c>
      <c r="B105">
        <v>2025</v>
      </c>
      <c r="C105">
        <v>12.5</v>
      </c>
      <c r="D105">
        <v>5.79</v>
      </c>
      <c r="E105" s="1" t="s">
        <v>16</v>
      </c>
    </row>
    <row r="106" spans="1:5" x14ac:dyDescent="0.35">
      <c r="A106" s="1" t="s">
        <v>120</v>
      </c>
      <c r="B106">
        <v>2025</v>
      </c>
      <c r="C106">
        <v>5.61</v>
      </c>
      <c r="D106">
        <v>3.5</v>
      </c>
      <c r="E106" s="1" t="s">
        <v>16</v>
      </c>
    </row>
    <row r="107" spans="1:5" x14ac:dyDescent="0.35">
      <c r="A107" s="1" t="s">
        <v>121</v>
      </c>
      <c r="B107">
        <v>2025</v>
      </c>
      <c r="C107">
        <v>17</v>
      </c>
      <c r="D107">
        <v>3.48</v>
      </c>
      <c r="E107" s="1" t="s">
        <v>16</v>
      </c>
    </row>
    <row r="108" spans="1:5" x14ac:dyDescent="0.35">
      <c r="A108" s="1" t="s">
        <v>122</v>
      </c>
      <c r="B108">
        <v>2025</v>
      </c>
      <c r="C108">
        <v>0.49</v>
      </c>
      <c r="D108">
        <v>3.02</v>
      </c>
      <c r="E108" s="1" t="s">
        <v>16</v>
      </c>
    </row>
    <row r="109" spans="1:5" x14ac:dyDescent="0.35">
      <c r="A109" s="1" t="s">
        <v>123</v>
      </c>
      <c r="B109">
        <v>2025</v>
      </c>
      <c r="C109">
        <v>7.05</v>
      </c>
      <c r="D109">
        <v>1.23</v>
      </c>
      <c r="E109" s="1" t="s">
        <v>16</v>
      </c>
    </row>
    <row r="110" spans="1:5" x14ac:dyDescent="0.35">
      <c r="A110" s="1" t="s">
        <v>124</v>
      </c>
      <c r="B110">
        <v>2025</v>
      </c>
      <c r="C110">
        <v>8.3000000000000007</v>
      </c>
      <c r="D110">
        <v>1.1000000000000001</v>
      </c>
      <c r="E110" s="1" t="s">
        <v>16</v>
      </c>
    </row>
    <row r="111" spans="1:5" x14ac:dyDescent="0.35">
      <c r="A111" s="1" t="s">
        <v>125</v>
      </c>
      <c r="B111">
        <v>2025</v>
      </c>
      <c r="C111">
        <v>-5.23</v>
      </c>
      <c r="D111">
        <v>0.1</v>
      </c>
      <c r="E111" s="1" t="s">
        <v>16</v>
      </c>
    </row>
    <row r="112" spans="1:5" x14ac:dyDescent="0.35">
      <c r="A112" s="1" t="s">
        <v>126</v>
      </c>
      <c r="B112">
        <v>2025</v>
      </c>
      <c r="C112">
        <v>-6.54</v>
      </c>
      <c r="D112">
        <v>0.02</v>
      </c>
      <c r="E112" s="1" t="s">
        <v>16</v>
      </c>
    </row>
    <row r="113" spans="1:5" x14ac:dyDescent="0.35">
      <c r="A113" s="1" t="s">
        <v>127</v>
      </c>
      <c r="B113">
        <v>2024</v>
      </c>
      <c r="C113">
        <v>9.5399999999999991</v>
      </c>
      <c r="D113">
        <v>-0.68</v>
      </c>
      <c r="E113" s="1" t="s">
        <v>16</v>
      </c>
    </row>
    <row r="114" spans="1:5" x14ac:dyDescent="0.35">
      <c r="A114" s="1" t="s">
        <v>128</v>
      </c>
      <c r="B114">
        <v>2024</v>
      </c>
      <c r="C114">
        <v>-7.16</v>
      </c>
      <c r="D114">
        <v>-1.39</v>
      </c>
      <c r="E114" s="1" t="s">
        <v>16</v>
      </c>
    </row>
    <row r="115" spans="1:5" x14ac:dyDescent="0.35">
      <c r="A115" s="1" t="s">
        <v>129</v>
      </c>
      <c r="B115">
        <v>2025</v>
      </c>
      <c r="C115">
        <v>16.63</v>
      </c>
      <c r="D115">
        <v>-2.04</v>
      </c>
      <c r="E115" s="1" t="s">
        <v>16</v>
      </c>
    </row>
    <row r="116" spans="1:5" x14ac:dyDescent="0.35">
      <c r="A116" s="1" t="s">
        <v>130</v>
      </c>
      <c r="B116">
        <v>2024</v>
      </c>
      <c r="C116">
        <v>17.149999999999999</v>
      </c>
      <c r="D116">
        <v>-2.39</v>
      </c>
      <c r="E116" s="1" t="s">
        <v>16</v>
      </c>
    </row>
    <row r="117" spans="1:5" x14ac:dyDescent="0.35">
      <c r="A117" s="1" t="s">
        <v>131</v>
      </c>
      <c r="B117">
        <v>2023</v>
      </c>
      <c r="C117">
        <v>7.02</v>
      </c>
      <c r="D117">
        <v>-2.44</v>
      </c>
      <c r="E117" s="1" t="s">
        <v>16</v>
      </c>
    </row>
    <row r="118" spans="1:5" x14ac:dyDescent="0.35">
      <c r="A118" s="1" t="s">
        <v>132</v>
      </c>
      <c r="B118">
        <v>2025</v>
      </c>
      <c r="C118">
        <v>-2.99</v>
      </c>
      <c r="D118">
        <v>-2.74</v>
      </c>
      <c r="E118" s="1" t="s">
        <v>16</v>
      </c>
    </row>
    <row r="119" spans="1:5" x14ac:dyDescent="0.35">
      <c r="A119" s="1" t="s">
        <v>133</v>
      </c>
      <c r="B119">
        <v>2024</v>
      </c>
      <c r="C119">
        <v>-9.74</v>
      </c>
      <c r="D119">
        <v>-3.11</v>
      </c>
      <c r="E119" s="1" t="s">
        <v>16</v>
      </c>
    </row>
    <row r="120" spans="1:5" x14ac:dyDescent="0.35">
      <c r="A120" s="1" t="s">
        <v>134</v>
      </c>
      <c r="B120">
        <v>2024</v>
      </c>
      <c r="C120">
        <v>26.88</v>
      </c>
      <c r="D120">
        <v>-3.46</v>
      </c>
      <c r="E120" s="1" t="s">
        <v>16</v>
      </c>
    </row>
    <row r="121" spans="1:5" x14ac:dyDescent="0.35">
      <c r="A121" s="1" t="s">
        <v>135</v>
      </c>
      <c r="B121">
        <v>2025</v>
      </c>
      <c r="C121">
        <v>0.13</v>
      </c>
      <c r="D121">
        <v>-3.89</v>
      </c>
      <c r="E121" s="1" t="s">
        <v>16</v>
      </c>
    </row>
    <row r="122" spans="1:5" x14ac:dyDescent="0.35">
      <c r="A122" s="1" t="s">
        <v>136</v>
      </c>
      <c r="B122">
        <v>2025</v>
      </c>
      <c r="C122">
        <v>-5.34</v>
      </c>
      <c r="D122">
        <v>-4.28</v>
      </c>
      <c r="E122" s="1" t="s">
        <v>16</v>
      </c>
    </row>
    <row r="123" spans="1:5" x14ac:dyDescent="0.35">
      <c r="A123" s="1" t="s">
        <v>137</v>
      </c>
      <c r="B123">
        <v>2025</v>
      </c>
      <c r="C123">
        <v>1.38</v>
      </c>
      <c r="D123">
        <v>-4.34</v>
      </c>
      <c r="E123" s="1" t="s">
        <v>16</v>
      </c>
    </row>
    <row r="124" spans="1:5" x14ac:dyDescent="0.35">
      <c r="A124" s="1" t="s">
        <v>138</v>
      </c>
      <c r="B124">
        <v>2024</v>
      </c>
      <c r="C124">
        <v>12.64</v>
      </c>
      <c r="D124">
        <v>-6.62</v>
      </c>
      <c r="E124" s="1" t="s">
        <v>16</v>
      </c>
    </row>
    <row r="125" spans="1:5" x14ac:dyDescent="0.35">
      <c r="A125" s="1" t="s">
        <v>139</v>
      </c>
      <c r="B125">
        <v>2025</v>
      </c>
      <c r="C125">
        <v>12.95</v>
      </c>
      <c r="D125">
        <v>-6.94</v>
      </c>
      <c r="E125" s="1" t="s">
        <v>16</v>
      </c>
    </row>
    <row r="126" spans="1:5" x14ac:dyDescent="0.35">
      <c r="A126" s="1" t="s">
        <v>140</v>
      </c>
      <c r="B126">
        <v>2025</v>
      </c>
      <c r="C126">
        <v>9.6300000000000008</v>
      </c>
      <c r="D126">
        <v>-7.97</v>
      </c>
      <c r="E126" s="1" t="s">
        <v>16</v>
      </c>
    </row>
    <row r="127" spans="1:5" x14ac:dyDescent="0.35">
      <c r="A127" s="1" t="s">
        <v>141</v>
      </c>
      <c r="B127">
        <v>2021</v>
      </c>
      <c r="C127">
        <v>17.559999999999999</v>
      </c>
      <c r="D127">
        <v>-8.07</v>
      </c>
      <c r="E127" s="1" t="s">
        <v>16</v>
      </c>
    </row>
    <row r="128" spans="1:5" x14ac:dyDescent="0.35">
      <c r="A128" s="1" t="s">
        <v>142</v>
      </c>
      <c r="B128">
        <v>2022</v>
      </c>
      <c r="C128">
        <v>3.38</v>
      </c>
      <c r="D128">
        <v>-8.49</v>
      </c>
      <c r="E128" s="1" t="s">
        <v>16</v>
      </c>
    </row>
    <row r="129" spans="1:5" x14ac:dyDescent="0.35">
      <c r="A129" s="1" t="s">
        <v>143</v>
      </c>
      <c r="B129">
        <v>2024</v>
      </c>
      <c r="C129">
        <v>-8.6199999999999992</v>
      </c>
      <c r="D129">
        <v>-9.34</v>
      </c>
      <c r="E129" s="1" t="s">
        <v>16</v>
      </c>
    </row>
    <row r="130" spans="1:5" x14ac:dyDescent="0.35">
      <c r="A130" s="1" t="s">
        <v>144</v>
      </c>
      <c r="B130">
        <v>2022</v>
      </c>
      <c r="C130">
        <v>10.130000000000001</v>
      </c>
      <c r="D130">
        <v>-9.9700000000000006</v>
      </c>
      <c r="E130" s="1" t="s">
        <v>16</v>
      </c>
    </row>
    <row r="131" spans="1:5" x14ac:dyDescent="0.35">
      <c r="A131" s="1" t="s">
        <v>145</v>
      </c>
      <c r="B131">
        <v>2024</v>
      </c>
      <c r="C131">
        <v>-3.55</v>
      </c>
      <c r="D131">
        <v>-10.46</v>
      </c>
      <c r="E131" s="1" t="s">
        <v>16</v>
      </c>
    </row>
    <row r="132" spans="1:5" x14ac:dyDescent="0.35">
      <c r="A132" s="1" t="s">
        <v>146</v>
      </c>
      <c r="B132">
        <v>2024</v>
      </c>
      <c r="C132">
        <v>29.58</v>
      </c>
      <c r="D132">
        <v>-11.84</v>
      </c>
      <c r="E132" s="1" t="s">
        <v>16</v>
      </c>
    </row>
    <row r="133" spans="1:5" x14ac:dyDescent="0.35">
      <c r="A133" s="1" t="s">
        <v>147</v>
      </c>
      <c r="B133">
        <v>2025</v>
      </c>
      <c r="C133">
        <v>5.1100000000000003</v>
      </c>
      <c r="D133">
        <v>-12.26</v>
      </c>
      <c r="E133" s="1" t="s">
        <v>16</v>
      </c>
    </row>
    <row r="134" spans="1:5" x14ac:dyDescent="0.35">
      <c r="A134" s="1" t="s">
        <v>148</v>
      </c>
      <c r="B134">
        <v>2025</v>
      </c>
      <c r="C134">
        <v>5</v>
      </c>
      <c r="D134">
        <v>-12.36</v>
      </c>
      <c r="E134" s="1" t="s">
        <v>16</v>
      </c>
    </row>
    <row r="135" spans="1:5" x14ac:dyDescent="0.35">
      <c r="A135" s="1" t="s">
        <v>149</v>
      </c>
      <c r="B135">
        <v>2025</v>
      </c>
      <c r="C135">
        <v>25.56</v>
      </c>
      <c r="D135">
        <v>-12.51</v>
      </c>
      <c r="E135" s="1" t="s">
        <v>16</v>
      </c>
    </row>
    <row r="136" spans="1:5" x14ac:dyDescent="0.35">
      <c r="A136" s="1" t="s">
        <v>150</v>
      </c>
      <c r="B136">
        <v>2025</v>
      </c>
      <c r="C136">
        <v>13.64</v>
      </c>
      <c r="D136">
        <v>-12.93</v>
      </c>
      <c r="E136" s="1" t="s">
        <v>16</v>
      </c>
    </row>
    <row r="137" spans="1:5" x14ac:dyDescent="0.35">
      <c r="A137" s="1" t="s">
        <v>151</v>
      </c>
      <c r="B137">
        <v>2024</v>
      </c>
      <c r="C137">
        <v>2.83</v>
      </c>
      <c r="D137">
        <v>-13.16</v>
      </c>
      <c r="E137" s="1" t="s">
        <v>16</v>
      </c>
    </row>
    <row r="138" spans="1:5" x14ac:dyDescent="0.35">
      <c r="A138" s="1" t="s">
        <v>152</v>
      </c>
      <c r="B138">
        <v>2024</v>
      </c>
      <c r="C138">
        <v>12.99</v>
      </c>
      <c r="D138">
        <v>-13.26</v>
      </c>
      <c r="E138" s="1" t="s">
        <v>16</v>
      </c>
    </row>
    <row r="139" spans="1:5" x14ac:dyDescent="0.35">
      <c r="A139" s="1" t="s">
        <v>153</v>
      </c>
      <c r="B139">
        <v>2025</v>
      </c>
      <c r="C139">
        <v>-0.63</v>
      </c>
      <c r="D139">
        <v>-13.5</v>
      </c>
      <c r="E139" s="1" t="s">
        <v>16</v>
      </c>
    </row>
    <row r="140" spans="1:5" x14ac:dyDescent="0.35">
      <c r="A140" s="1" t="s">
        <v>154</v>
      </c>
      <c r="B140">
        <v>2022</v>
      </c>
      <c r="C140">
        <v>29.76</v>
      </c>
      <c r="D140">
        <v>-14.04</v>
      </c>
      <c r="E140" s="1" t="s">
        <v>16</v>
      </c>
    </row>
    <row r="141" spans="1:5" x14ac:dyDescent="0.35">
      <c r="A141" s="1" t="s">
        <v>155</v>
      </c>
      <c r="B141">
        <v>2025</v>
      </c>
      <c r="C141">
        <v>-2.2400000000000002</v>
      </c>
      <c r="D141">
        <v>-14.08</v>
      </c>
      <c r="E141" s="1" t="s">
        <v>16</v>
      </c>
    </row>
    <row r="142" spans="1:5" x14ac:dyDescent="0.35">
      <c r="A142" s="1" t="s">
        <v>156</v>
      </c>
      <c r="B142">
        <v>2024</v>
      </c>
      <c r="C142">
        <v>11.03</v>
      </c>
      <c r="D142">
        <v>-14.15</v>
      </c>
      <c r="E142" s="1" t="s">
        <v>16</v>
      </c>
    </row>
    <row r="143" spans="1:5" x14ac:dyDescent="0.35">
      <c r="A143" s="1" t="s">
        <v>157</v>
      </c>
      <c r="B143">
        <v>2025</v>
      </c>
      <c r="C143">
        <v>-0.46</v>
      </c>
      <c r="D143">
        <v>-14.2</v>
      </c>
      <c r="E143" s="1" t="s">
        <v>16</v>
      </c>
    </row>
    <row r="144" spans="1:5" x14ac:dyDescent="0.35">
      <c r="A144" s="1" t="s">
        <v>158</v>
      </c>
      <c r="B144">
        <v>2025</v>
      </c>
      <c r="C144">
        <v>29</v>
      </c>
      <c r="D144">
        <v>-16.420000000000002</v>
      </c>
      <c r="E144" s="1" t="s">
        <v>16</v>
      </c>
    </row>
    <row r="145" spans="1:5" x14ac:dyDescent="0.35">
      <c r="A145" s="1" t="s">
        <v>159</v>
      </c>
      <c r="B145">
        <v>2025</v>
      </c>
      <c r="C145">
        <v>3.02</v>
      </c>
      <c r="D145">
        <v>-17.309999999999999</v>
      </c>
      <c r="E145" s="1" t="s">
        <v>16</v>
      </c>
    </row>
    <row r="146" spans="1:5" x14ac:dyDescent="0.35">
      <c r="A146" s="1" t="s">
        <v>160</v>
      </c>
      <c r="B146">
        <v>2025</v>
      </c>
      <c r="C146">
        <v>16.07</v>
      </c>
      <c r="D146">
        <v>-17.47</v>
      </c>
      <c r="E146" s="1" t="s">
        <v>16</v>
      </c>
    </row>
    <row r="147" spans="1:5" x14ac:dyDescent="0.35">
      <c r="A147" s="1" t="s">
        <v>161</v>
      </c>
      <c r="B147">
        <v>2022</v>
      </c>
      <c r="C147">
        <v>16.63</v>
      </c>
      <c r="D147">
        <v>-17.670000000000002</v>
      </c>
      <c r="E147" s="1" t="s">
        <v>16</v>
      </c>
    </row>
    <row r="148" spans="1:5" x14ac:dyDescent="0.35">
      <c r="A148" s="1" t="s">
        <v>162</v>
      </c>
      <c r="B148">
        <v>2024</v>
      </c>
      <c r="C148">
        <v>7.9</v>
      </c>
      <c r="D148">
        <v>-18.010000000000002</v>
      </c>
      <c r="E148" s="1" t="s">
        <v>16</v>
      </c>
    </row>
    <row r="149" spans="1:5" x14ac:dyDescent="0.35">
      <c r="A149" s="1" t="s">
        <v>163</v>
      </c>
      <c r="B149">
        <v>2024</v>
      </c>
      <c r="C149">
        <v>17.27</v>
      </c>
      <c r="D149">
        <v>-18.100000000000001</v>
      </c>
      <c r="E149" s="1" t="s">
        <v>16</v>
      </c>
    </row>
    <row r="150" spans="1:5" x14ac:dyDescent="0.35">
      <c r="A150" s="1" t="s">
        <v>164</v>
      </c>
      <c r="B150">
        <v>2024</v>
      </c>
      <c r="C150">
        <v>-0.3</v>
      </c>
      <c r="D150">
        <v>-18.36</v>
      </c>
      <c r="E150" s="1" t="s">
        <v>16</v>
      </c>
    </row>
    <row r="151" spans="1:5" x14ac:dyDescent="0.35">
      <c r="A151" s="1" t="s">
        <v>165</v>
      </c>
      <c r="B151">
        <v>2022</v>
      </c>
      <c r="C151">
        <v>-9.41</v>
      </c>
      <c r="D151">
        <v>-18.46</v>
      </c>
      <c r="E151" s="1" t="s">
        <v>16</v>
      </c>
    </row>
    <row r="152" spans="1:5" x14ac:dyDescent="0.35">
      <c r="A152" s="1" t="s">
        <v>166</v>
      </c>
      <c r="B152">
        <v>2025</v>
      </c>
      <c r="C152">
        <v>2.98</v>
      </c>
      <c r="D152">
        <v>-18.47</v>
      </c>
      <c r="E152" s="1" t="s">
        <v>16</v>
      </c>
    </row>
    <row r="153" spans="1:5" x14ac:dyDescent="0.35">
      <c r="A153" s="1" t="s">
        <v>167</v>
      </c>
      <c r="B153">
        <v>2024</v>
      </c>
      <c r="C153">
        <v>10.119999999999999</v>
      </c>
      <c r="D153">
        <v>-19.37</v>
      </c>
      <c r="E153" s="1" t="s">
        <v>16</v>
      </c>
    </row>
    <row r="154" spans="1:5" x14ac:dyDescent="0.35">
      <c r="A154" s="1" t="s">
        <v>168</v>
      </c>
      <c r="B154">
        <v>2024</v>
      </c>
      <c r="C154">
        <v>-2.5</v>
      </c>
      <c r="D154">
        <v>-19.989999999999998</v>
      </c>
      <c r="E154" s="1" t="s">
        <v>16</v>
      </c>
    </row>
    <row r="155" spans="1:5" x14ac:dyDescent="0.35">
      <c r="A155" s="1" t="s">
        <v>169</v>
      </c>
      <c r="B155">
        <v>2024</v>
      </c>
      <c r="C155">
        <v>8.25</v>
      </c>
      <c r="D155">
        <v>-20.25</v>
      </c>
      <c r="E155" s="1" t="s">
        <v>16</v>
      </c>
    </row>
    <row r="156" spans="1:5" x14ac:dyDescent="0.35">
      <c r="A156" s="1" t="s">
        <v>170</v>
      </c>
      <c r="B156">
        <v>2023</v>
      </c>
      <c r="C156">
        <v>11.49</v>
      </c>
      <c r="D156">
        <v>-20.84</v>
      </c>
      <c r="E156" s="1" t="s">
        <v>16</v>
      </c>
    </row>
    <row r="157" spans="1:5" x14ac:dyDescent="0.35">
      <c r="A157" s="1" t="s">
        <v>171</v>
      </c>
      <c r="B157">
        <v>2025</v>
      </c>
      <c r="C157">
        <v>-5.74</v>
      </c>
      <c r="D157">
        <v>-21.56</v>
      </c>
      <c r="E157" s="1" t="s">
        <v>16</v>
      </c>
    </row>
    <row r="158" spans="1:5" x14ac:dyDescent="0.35">
      <c r="A158" s="1" t="s">
        <v>172</v>
      </c>
      <c r="B158">
        <v>2025</v>
      </c>
      <c r="C158">
        <v>-4.5</v>
      </c>
      <c r="D158">
        <v>-21.6</v>
      </c>
      <c r="E158" s="1" t="s">
        <v>16</v>
      </c>
    </row>
    <row r="159" spans="1:5" x14ac:dyDescent="0.35">
      <c r="A159" s="1" t="s">
        <v>173</v>
      </c>
      <c r="B159">
        <v>2025</v>
      </c>
      <c r="C159">
        <v>12.82</v>
      </c>
      <c r="D159">
        <v>-21.84</v>
      </c>
      <c r="E159" s="1" t="s">
        <v>16</v>
      </c>
    </row>
    <row r="160" spans="1:5" x14ac:dyDescent="0.35">
      <c r="A160" s="1" t="s">
        <v>174</v>
      </c>
      <c r="B160">
        <v>2020</v>
      </c>
      <c r="C160">
        <v>-9.75</v>
      </c>
      <c r="D160">
        <v>-21.89</v>
      </c>
      <c r="E160" s="1" t="s">
        <v>16</v>
      </c>
    </row>
    <row r="161" spans="1:5" x14ac:dyDescent="0.35">
      <c r="A161" s="1" t="s">
        <v>175</v>
      </c>
      <c r="B161">
        <v>2025</v>
      </c>
      <c r="C161">
        <v>0.55000000000000004</v>
      </c>
      <c r="D161">
        <v>-21.98</v>
      </c>
      <c r="E161" s="1" t="s">
        <v>16</v>
      </c>
    </row>
    <row r="162" spans="1:5" x14ac:dyDescent="0.35">
      <c r="A162" s="1" t="s">
        <v>176</v>
      </c>
      <c r="B162">
        <v>2021</v>
      </c>
      <c r="C162">
        <v>2.67</v>
      </c>
      <c r="D162">
        <v>-23.43</v>
      </c>
      <c r="E162" s="1" t="s">
        <v>16</v>
      </c>
    </row>
    <row r="163" spans="1:5" x14ac:dyDescent="0.35">
      <c r="A163" s="1" t="s">
        <v>177</v>
      </c>
      <c r="B163">
        <v>2025</v>
      </c>
      <c r="C163">
        <v>4.58</v>
      </c>
      <c r="D163">
        <v>-23.6</v>
      </c>
      <c r="E163" s="1" t="s">
        <v>16</v>
      </c>
    </row>
    <row r="164" spans="1:5" x14ac:dyDescent="0.35">
      <c r="A164" s="1" t="s">
        <v>178</v>
      </c>
      <c r="B164">
        <v>2025</v>
      </c>
      <c r="C164">
        <v>-4.22</v>
      </c>
      <c r="D164">
        <v>-24.87</v>
      </c>
      <c r="E164" s="1" t="s">
        <v>16</v>
      </c>
    </row>
    <row r="165" spans="1:5" x14ac:dyDescent="0.35">
      <c r="A165" s="1" t="s">
        <v>179</v>
      </c>
      <c r="B165">
        <v>2021</v>
      </c>
      <c r="C165">
        <v>-15.59</v>
      </c>
      <c r="D165">
        <v>-25.02</v>
      </c>
      <c r="E165" s="1" t="s">
        <v>16</v>
      </c>
    </row>
    <row r="166" spans="1:5" x14ac:dyDescent="0.35">
      <c r="A166" s="1" t="s">
        <v>180</v>
      </c>
      <c r="B166">
        <v>2022</v>
      </c>
      <c r="C166">
        <v>-19.98</v>
      </c>
      <c r="D166">
        <v>-25.17</v>
      </c>
      <c r="E166" s="1" t="s">
        <v>16</v>
      </c>
    </row>
    <row r="167" spans="1:5" x14ac:dyDescent="0.35">
      <c r="A167" s="1" t="s">
        <v>181</v>
      </c>
      <c r="B167">
        <v>2025</v>
      </c>
      <c r="C167">
        <v>7.7</v>
      </c>
      <c r="D167">
        <v>-25.29</v>
      </c>
      <c r="E167" s="1" t="s">
        <v>16</v>
      </c>
    </row>
    <row r="168" spans="1:5" x14ac:dyDescent="0.35">
      <c r="A168" s="1" t="s">
        <v>182</v>
      </c>
      <c r="B168">
        <v>2024</v>
      </c>
      <c r="C168">
        <v>-9.6300000000000008</v>
      </c>
      <c r="D168">
        <v>-25.41</v>
      </c>
      <c r="E168" s="1" t="s">
        <v>16</v>
      </c>
    </row>
    <row r="169" spans="1:5" x14ac:dyDescent="0.35">
      <c r="A169" s="1" t="s">
        <v>183</v>
      </c>
      <c r="B169">
        <v>2021</v>
      </c>
      <c r="C169">
        <v>-1.73</v>
      </c>
      <c r="D169">
        <v>-25.5</v>
      </c>
      <c r="E169" s="1" t="s">
        <v>16</v>
      </c>
    </row>
    <row r="170" spans="1:5" x14ac:dyDescent="0.35">
      <c r="A170" s="1" t="s">
        <v>184</v>
      </c>
      <c r="B170">
        <v>2025</v>
      </c>
      <c r="C170">
        <v>5.26</v>
      </c>
      <c r="D170">
        <v>-26.26</v>
      </c>
      <c r="E170" s="1" t="s">
        <v>16</v>
      </c>
    </row>
    <row r="171" spans="1:5" x14ac:dyDescent="0.35">
      <c r="A171" s="1" t="s">
        <v>185</v>
      </c>
      <c r="B171">
        <v>2025</v>
      </c>
      <c r="C171">
        <v>-1.33</v>
      </c>
      <c r="D171">
        <v>-26.49</v>
      </c>
      <c r="E171" s="1" t="s">
        <v>16</v>
      </c>
    </row>
    <row r="172" spans="1:5" x14ac:dyDescent="0.35">
      <c r="A172" s="1" t="s">
        <v>186</v>
      </c>
      <c r="B172">
        <v>2025</v>
      </c>
      <c r="C172">
        <v>4.9800000000000004</v>
      </c>
      <c r="D172">
        <v>-26.83</v>
      </c>
      <c r="E172" s="1" t="s">
        <v>16</v>
      </c>
    </row>
    <row r="173" spans="1:5" x14ac:dyDescent="0.35">
      <c r="A173" s="1" t="s">
        <v>187</v>
      </c>
      <c r="B173">
        <v>2022</v>
      </c>
      <c r="C173">
        <v>2.93</v>
      </c>
      <c r="D173">
        <v>-27.32</v>
      </c>
      <c r="E173" s="1" t="s">
        <v>16</v>
      </c>
    </row>
    <row r="174" spans="1:5" x14ac:dyDescent="0.35">
      <c r="A174" s="1" t="s">
        <v>188</v>
      </c>
      <c r="B174">
        <v>2023</v>
      </c>
      <c r="C174">
        <v>0.23</v>
      </c>
      <c r="D174">
        <v>-27.65</v>
      </c>
      <c r="E174" s="1" t="s">
        <v>16</v>
      </c>
    </row>
    <row r="175" spans="1:5" x14ac:dyDescent="0.35">
      <c r="A175" s="1" t="s">
        <v>189</v>
      </c>
      <c r="B175">
        <v>2024</v>
      </c>
      <c r="C175">
        <v>-9.5500000000000007</v>
      </c>
      <c r="D175">
        <v>-28.38</v>
      </c>
      <c r="E175" s="1" t="s">
        <v>16</v>
      </c>
    </row>
    <row r="176" spans="1:5" x14ac:dyDescent="0.35">
      <c r="A176" s="1" t="s">
        <v>190</v>
      </c>
      <c r="B176">
        <v>2024</v>
      </c>
      <c r="C176">
        <v>2.42</v>
      </c>
      <c r="D176">
        <v>-29.48</v>
      </c>
      <c r="E176" s="1" t="s">
        <v>16</v>
      </c>
    </row>
    <row r="177" spans="1:5" x14ac:dyDescent="0.35">
      <c r="A177" s="1" t="s">
        <v>191</v>
      </c>
      <c r="B177">
        <v>2025</v>
      </c>
      <c r="C177">
        <v>-5.2</v>
      </c>
      <c r="D177">
        <v>-31.17</v>
      </c>
      <c r="E177" s="1" t="s">
        <v>16</v>
      </c>
    </row>
    <row r="178" spans="1:5" x14ac:dyDescent="0.35">
      <c r="A178" s="1" t="s">
        <v>23</v>
      </c>
      <c r="B178">
        <v>2025</v>
      </c>
      <c r="C178">
        <v>-8.0299999999999994</v>
      </c>
      <c r="D178">
        <v>-31.41</v>
      </c>
      <c r="E178" s="1" t="s">
        <v>16</v>
      </c>
    </row>
    <row r="179" spans="1:5" x14ac:dyDescent="0.35">
      <c r="A179" s="1" t="s">
        <v>192</v>
      </c>
      <c r="B179">
        <v>2025</v>
      </c>
      <c r="C179">
        <v>-15.12</v>
      </c>
      <c r="D179">
        <v>-31.42</v>
      </c>
      <c r="E179" s="1" t="s">
        <v>16</v>
      </c>
    </row>
    <row r="180" spans="1:5" x14ac:dyDescent="0.35">
      <c r="A180" s="1" t="s">
        <v>193</v>
      </c>
      <c r="B180">
        <v>2023</v>
      </c>
      <c r="C180">
        <v>-4.3</v>
      </c>
      <c r="D180">
        <v>-31.83</v>
      </c>
      <c r="E180" s="1" t="s">
        <v>16</v>
      </c>
    </row>
    <row r="181" spans="1:5" x14ac:dyDescent="0.35">
      <c r="A181" s="1" t="s">
        <v>194</v>
      </c>
      <c r="B181">
        <v>2021</v>
      </c>
      <c r="C181">
        <v>20.71</v>
      </c>
      <c r="D181">
        <v>-32.21</v>
      </c>
      <c r="E181" s="1" t="s">
        <v>16</v>
      </c>
    </row>
    <row r="182" spans="1:5" x14ac:dyDescent="0.35">
      <c r="A182" s="1" t="s">
        <v>195</v>
      </c>
      <c r="B182">
        <v>2025</v>
      </c>
      <c r="C182">
        <v>-16.38</v>
      </c>
      <c r="D182">
        <v>-32.57</v>
      </c>
      <c r="E182" s="1" t="s">
        <v>16</v>
      </c>
    </row>
    <row r="183" spans="1:5" x14ac:dyDescent="0.35">
      <c r="A183" s="1" t="s">
        <v>196</v>
      </c>
      <c r="B183">
        <v>2023</v>
      </c>
      <c r="C183">
        <v>-10</v>
      </c>
      <c r="D183">
        <v>-34.51</v>
      </c>
      <c r="E183" s="1" t="s">
        <v>16</v>
      </c>
    </row>
    <row r="184" spans="1:5" x14ac:dyDescent="0.35">
      <c r="A184" s="1" t="s">
        <v>197</v>
      </c>
      <c r="B184">
        <v>2024</v>
      </c>
      <c r="C184">
        <v>16.920000000000002</v>
      </c>
      <c r="D184">
        <v>-34.96</v>
      </c>
      <c r="E184" s="1" t="s">
        <v>16</v>
      </c>
    </row>
    <row r="185" spans="1:5" x14ac:dyDescent="0.35">
      <c r="A185" s="1" t="s">
        <v>198</v>
      </c>
      <c r="B185">
        <v>2025</v>
      </c>
      <c r="C185">
        <v>1.85</v>
      </c>
      <c r="D185">
        <v>-35.06</v>
      </c>
      <c r="E185" s="1" t="s">
        <v>16</v>
      </c>
    </row>
    <row r="186" spans="1:5" x14ac:dyDescent="0.35">
      <c r="A186" s="1" t="s">
        <v>199</v>
      </c>
      <c r="B186">
        <v>2025</v>
      </c>
      <c r="C186">
        <v>7.35</v>
      </c>
      <c r="D186">
        <v>-35.32</v>
      </c>
      <c r="E186" s="1" t="s">
        <v>16</v>
      </c>
    </row>
    <row r="187" spans="1:5" x14ac:dyDescent="0.35">
      <c r="A187" s="1" t="s">
        <v>200</v>
      </c>
      <c r="B187">
        <v>2025</v>
      </c>
      <c r="C187">
        <v>-8.6</v>
      </c>
      <c r="D187">
        <v>-35.33</v>
      </c>
      <c r="E187" s="1" t="s">
        <v>16</v>
      </c>
    </row>
    <row r="188" spans="1:5" x14ac:dyDescent="0.35">
      <c r="A188" s="1" t="s">
        <v>201</v>
      </c>
      <c r="B188">
        <v>2025</v>
      </c>
      <c r="C188">
        <v>14.03</v>
      </c>
      <c r="D188">
        <v>-35.5</v>
      </c>
      <c r="E188" s="1" t="s">
        <v>16</v>
      </c>
    </row>
    <row r="189" spans="1:5" x14ac:dyDescent="0.35">
      <c r="A189" s="1" t="s">
        <v>202</v>
      </c>
      <c r="B189">
        <v>2025</v>
      </c>
      <c r="C189">
        <v>-2.73</v>
      </c>
      <c r="D189">
        <v>-36.32</v>
      </c>
      <c r="E189" s="1" t="s">
        <v>16</v>
      </c>
    </row>
    <row r="190" spans="1:5" x14ac:dyDescent="0.35">
      <c r="A190" s="1" t="s">
        <v>203</v>
      </c>
      <c r="B190">
        <v>2024</v>
      </c>
      <c r="C190">
        <v>-5.39</v>
      </c>
      <c r="D190">
        <v>-36.520000000000003</v>
      </c>
      <c r="E190" s="1" t="s">
        <v>16</v>
      </c>
    </row>
    <row r="191" spans="1:5" x14ac:dyDescent="0.35">
      <c r="A191" s="1" t="s">
        <v>204</v>
      </c>
      <c r="B191">
        <v>2025</v>
      </c>
      <c r="C191">
        <v>27.3</v>
      </c>
      <c r="D191">
        <v>-36.67</v>
      </c>
      <c r="E191" s="1" t="s">
        <v>16</v>
      </c>
    </row>
    <row r="192" spans="1:5" x14ac:dyDescent="0.35">
      <c r="A192" s="1" t="s">
        <v>205</v>
      </c>
      <c r="B192">
        <v>2025</v>
      </c>
      <c r="C192">
        <v>-36.61</v>
      </c>
      <c r="D192">
        <v>-37.44</v>
      </c>
      <c r="E192" s="1" t="s">
        <v>16</v>
      </c>
    </row>
    <row r="193" spans="1:5" x14ac:dyDescent="0.35">
      <c r="A193" s="1" t="s">
        <v>206</v>
      </c>
      <c r="B193">
        <v>2023</v>
      </c>
      <c r="C193">
        <v>2.0299999999999998</v>
      </c>
      <c r="D193">
        <v>-37.69</v>
      </c>
      <c r="E193" s="1" t="s">
        <v>16</v>
      </c>
    </row>
    <row r="194" spans="1:5" x14ac:dyDescent="0.35">
      <c r="A194" s="1" t="s">
        <v>207</v>
      </c>
      <c r="B194">
        <v>2023</v>
      </c>
      <c r="C194">
        <v>-8.5399999999999991</v>
      </c>
      <c r="D194">
        <v>-37.82</v>
      </c>
      <c r="E194" s="1" t="s">
        <v>16</v>
      </c>
    </row>
    <row r="195" spans="1:5" x14ac:dyDescent="0.35">
      <c r="A195" s="1" t="s">
        <v>208</v>
      </c>
      <c r="B195">
        <v>2025</v>
      </c>
      <c r="C195">
        <v>5</v>
      </c>
      <c r="D195">
        <v>-38.28</v>
      </c>
      <c r="E195" s="1" t="s">
        <v>16</v>
      </c>
    </row>
    <row r="196" spans="1:5" x14ac:dyDescent="0.35">
      <c r="A196" s="1" t="s">
        <v>209</v>
      </c>
      <c r="B196">
        <v>2020</v>
      </c>
      <c r="C196">
        <v>13.95</v>
      </c>
      <c r="D196">
        <v>-38.299999999999997</v>
      </c>
      <c r="E196" s="1" t="s">
        <v>16</v>
      </c>
    </row>
    <row r="197" spans="1:5" x14ac:dyDescent="0.35">
      <c r="A197" s="1" t="s">
        <v>210</v>
      </c>
      <c r="B197">
        <v>2023</v>
      </c>
      <c r="C197">
        <v>-5.37</v>
      </c>
      <c r="D197">
        <v>-39.020000000000003</v>
      </c>
      <c r="E197" s="1" t="s">
        <v>16</v>
      </c>
    </row>
    <row r="198" spans="1:5" x14ac:dyDescent="0.35">
      <c r="A198" s="1" t="s">
        <v>211</v>
      </c>
      <c r="B198">
        <v>2024</v>
      </c>
      <c r="C198">
        <v>21.74</v>
      </c>
      <c r="D198">
        <v>-39.659999999999997</v>
      </c>
      <c r="E198" s="1" t="s">
        <v>16</v>
      </c>
    </row>
    <row r="199" spans="1:5" x14ac:dyDescent="0.35">
      <c r="A199" s="1" t="s">
        <v>212</v>
      </c>
      <c r="B199">
        <v>2025</v>
      </c>
      <c r="C199">
        <v>-25.15</v>
      </c>
      <c r="D199">
        <v>-40</v>
      </c>
      <c r="E199" s="1" t="s">
        <v>16</v>
      </c>
    </row>
    <row r="200" spans="1:5" x14ac:dyDescent="0.35">
      <c r="A200" s="1" t="s">
        <v>213</v>
      </c>
      <c r="B200">
        <v>2023</v>
      </c>
      <c r="C200">
        <v>22.18</v>
      </c>
      <c r="D200">
        <v>-40.47</v>
      </c>
      <c r="E200" s="1" t="s">
        <v>16</v>
      </c>
    </row>
    <row r="201" spans="1:5" x14ac:dyDescent="0.35">
      <c r="A201" s="1" t="s">
        <v>214</v>
      </c>
      <c r="B201">
        <v>2025</v>
      </c>
      <c r="C201">
        <v>-1.39</v>
      </c>
      <c r="D201">
        <v>-40.770000000000003</v>
      </c>
      <c r="E201" s="1" t="s">
        <v>16</v>
      </c>
    </row>
    <row r="202" spans="1:5" x14ac:dyDescent="0.35">
      <c r="A202" s="1" t="s">
        <v>215</v>
      </c>
      <c r="B202">
        <v>2021</v>
      </c>
      <c r="C202">
        <v>0.76</v>
      </c>
      <c r="D202">
        <v>-41.52</v>
      </c>
      <c r="E202" s="1" t="s">
        <v>16</v>
      </c>
    </row>
    <row r="203" spans="1:5" x14ac:dyDescent="0.35">
      <c r="A203" s="1" t="s">
        <v>216</v>
      </c>
      <c r="B203">
        <v>2024</v>
      </c>
      <c r="C203">
        <v>-7.05</v>
      </c>
      <c r="D203">
        <v>-41.75</v>
      </c>
      <c r="E203" s="1" t="s">
        <v>16</v>
      </c>
    </row>
    <row r="204" spans="1:5" x14ac:dyDescent="0.35">
      <c r="A204" s="1" t="s">
        <v>217</v>
      </c>
      <c r="B204">
        <v>2025</v>
      </c>
      <c r="C204">
        <v>-4.57</v>
      </c>
      <c r="D204">
        <v>-42.69</v>
      </c>
      <c r="E204" s="1" t="s">
        <v>16</v>
      </c>
    </row>
    <row r="205" spans="1:5" x14ac:dyDescent="0.35">
      <c r="A205" s="1" t="s">
        <v>218</v>
      </c>
      <c r="B205">
        <v>2024</v>
      </c>
      <c r="C205">
        <v>20</v>
      </c>
      <c r="D205">
        <v>-43.04</v>
      </c>
      <c r="E205" s="1" t="s">
        <v>16</v>
      </c>
    </row>
    <row r="206" spans="1:5" x14ac:dyDescent="0.35">
      <c r="A206" s="1" t="s">
        <v>219</v>
      </c>
      <c r="B206">
        <v>2021</v>
      </c>
      <c r="C206">
        <v>3.46</v>
      </c>
      <c r="D206">
        <v>-43.08</v>
      </c>
      <c r="E206" s="1" t="s">
        <v>16</v>
      </c>
    </row>
    <row r="207" spans="1:5" x14ac:dyDescent="0.35">
      <c r="A207" s="1" t="s">
        <v>220</v>
      </c>
      <c r="B207">
        <v>2021</v>
      </c>
      <c r="C207">
        <v>-6.72</v>
      </c>
      <c r="D207">
        <v>-43.48</v>
      </c>
      <c r="E207" s="1" t="s">
        <v>16</v>
      </c>
    </row>
    <row r="208" spans="1:5" x14ac:dyDescent="0.35">
      <c r="A208" s="1" t="s">
        <v>221</v>
      </c>
      <c r="B208">
        <v>2021</v>
      </c>
      <c r="C208">
        <v>-11.21</v>
      </c>
      <c r="D208">
        <v>-43.8</v>
      </c>
      <c r="E208" s="1" t="s">
        <v>16</v>
      </c>
    </row>
    <row r="209" spans="1:5" x14ac:dyDescent="0.35">
      <c r="A209" s="1" t="s">
        <v>222</v>
      </c>
      <c r="B209">
        <v>2024</v>
      </c>
      <c r="C209">
        <v>11.53</v>
      </c>
      <c r="D209">
        <v>-44.35</v>
      </c>
      <c r="E209" s="1" t="s">
        <v>16</v>
      </c>
    </row>
    <row r="210" spans="1:5" x14ac:dyDescent="0.35">
      <c r="A210" s="1" t="s">
        <v>223</v>
      </c>
      <c r="B210">
        <v>2025</v>
      </c>
      <c r="C210">
        <v>-7.91</v>
      </c>
      <c r="D210">
        <v>-44.56</v>
      </c>
      <c r="E210" s="1" t="s">
        <v>16</v>
      </c>
    </row>
    <row r="211" spans="1:5" x14ac:dyDescent="0.35">
      <c r="A211" s="1" t="s">
        <v>224</v>
      </c>
      <c r="B211">
        <v>2024</v>
      </c>
      <c r="C211">
        <v>-7.3</v>
      </c>
      <c r="D211">
        <v>-45.4</v>
      </c>
      <c r="E211" s="1" t="s">
        <v>16</v>
      </c>
    </row>
    <row r="212" spans="1:5" x14ac:dyDescent="0.35">
      <c r="A212" s="1" t="s">
        <v>225</v>
      </c>
      <c r="B212">
        <v>2021</v>
      </c>
      <c r="C212">
        <v>10.25</v>
      </c>
      <c r="D212">
        <v>-45.5</v>
      </c>
      <c r="E212" s="1" t="s">
        <v>16</v>
      </c>
    </row>
    <row r="213" spans="1:5" x14ac:dyDescent="0.35">
      <c r="A213" s="1" t="s">
        <v>226</v>
      </c>
      <c r="B213">
        <v>2025</v>
      </c>
      <c r="C213">
        <v>28.63</v>
      </c>
      <c r="D213">
        <v>-46.55</v>
      </c>
      <c r="E213" s="1" t="s">
        <v>16</v>
      </c>
    </row>
    <row r="214" spans="1:5" x14ac:dyDescent="0.35">
      <c r="A214" s="1" t="s">
        <v>227</v>
      </c>
      <c r="B214">
        <v>2023</v>
      </c>
      <c r="C214">
        <v>21.61</v>
      </c>
      <c r="D214">
        <v>-46.64</v>
      </c>
      <c r="E214" s="1" t="s">
        <v>16</v>
      </c>
    </row>
    <row r="215" spans="1:5" x14ac:dyDescent="0.35">
      <c r="A215" s="1" t="s">
        <v>228</v>
      </c>
      <c r="B215">
        <v>2021</v>
      </c>
      <c r="C215">
        <v>15.93</v>
      </c>
      <c r="D215">
        <v>-47.65</v>
      </c>
      <c r="E215" s="1" t="s">
        <v>16</v>
      </c>
    </row>
    <row r="216" spans="1:5" x14ac:dyDescent="0.35">
      <c r="A216" s="1" t="s">
        <v>229</v>
      </c>
      <c r="B216">
        <v>2023</v>
      </c>
      <c r="C216">
        <v>-7.08</v>
      </c>
      <c r="D216">
        <v>-47.89</v>
      </c>
      <c r="E216" s="1" t="s">
        <v>16</v>
      </c>
    </row>
    <row r="217" spans="1:5" x14ac:dyDescent="0.35">
      <c r="A217" s="1" t="s">
        <v>230</v>
      </c>
      <c r="B217">
        <v>2025</v>
      </c>
      <c r="C217">
        <v>-21.45</v>
      </c>
      <c r="D217">
        <v>-48.18</v>
      </c>
      <c r="E217" s="1" t="s">
        <v>16</v>
      </c>
    </row>
    <row r="218" spans="1:5" x14ac:dyDescent="0.35">
      <c r="A218" s="1" t="s">
        <v>231</v>
      </c>
      <c r="B218">
        <v>2025</v>
      </c>
      <c r="C218">
        <v>-0.59</v>
      </c>
      <c r="D218">
        <v>-48.24</v>
      </c>
      <c r="E218" s="1" t="s">
        <v>16</v>
      </c>
    </row>
    <row r="219" spans="1:5" x14ac:dyDescent="0.35">
      <c r="A219" s="1" t="s">
        <v>232</v>
      </c>
      <c r="B219">
        <v>2023</v>
      </c>
      <c r="C219">
        <v>-6.31</v>
      </c>
      <c r="D219">
        <v>-48.41</v>
      </c>
      <c r="E219" s="1" t="s">
        <v>16</v>
      </c>
    </row>
    <row r="220" spans="1:5" x14ac:dyDescent="0.35">
      <c r="A220" s="1" t="s">
        <v>233</v>
      </c>
      <c r="B220">
        <v>2025</v>
      </c>
      <c r="C220">
        <v>-35.119999999999997</v>
      </c>
      <c r="D220">
        <v>-50.43</v>
      </c>
      <c r="E220" s="1" t="s">
        <v>16</v>
      </c>
    </row>
    <row r="221" spans="1:5" x14ac:dyDescent="0.35">
      <c r="A221" s="1" t="s">
        <v>234</v>
      </c>
      <c r="B221">
        <v>2021</v>
      </c>
      <c r="C221">
        <v>-27.4</v>
      </c>
      <c r="D221">
        <v>-50.78</v>
      </c>
      <c r="E221" s="1" t="s">
        <v>16</v>
      </c>
    </row>
    <row r="222" spans="1:5" x14ac:dyDescent="0.35">
      <c r="A222" s="1" t="s">
        <v>235</v>
      </c>
      <c r="B222">
        <v>2023</v>
      </c>
      <c r="C222">
        <v>10.32</v>
      </c>
      <c r="D222">
        <v>-52.52</v>
      </c>
      <c r="E222" s="1" t="s">
        <v>16</v>
      </c>
    </row>
    <row r="223" spans="1:5" x14ac:dyDescent="0.35">
      <c r="A223" s="1" t="s">
        <v>236</v>
      </c>
      <c r="B223">
        <v>2022</v>
      </c>
      <c r="C223">
        <v>-11.74</v>
      </c>
      <c r="D223">
        <v>-53.32</v>
      </c>
      <c r="E223" s="1" t="s">
        <v>16</v>
      </c>
    </row>
    <row r="224" spans="1:5" x14ac:dyDescent="0.35">
      <c r="A224" s="1" t="s">
        <v>237</v>
      </c>
      <c r="B224">
        <v>2025</v>
      </c>
      <c r="C224">
        <v>0.66</v>
      </c>
      <c r="D224">
        <v>-53.33</v>
      </c>
      <c r="E224" s="1" t="s">
        <v>16</v>
      </c>
    </row>
    <row r="225" spans="1:5" x14ac:dyDescent="0.35">
      <c r="A225" s="1" t="s">
        <v>238</v>
      </c>
      <c r="B225">
        <v>2023</v>
      </c>
      <c r="C225">
        <v>15.08</v>
      </c>
      <c r="D225">
        <v>-53.6</v>
      </c>
      <c r="E225" s="1" t="s">
        <v>16</v>
      </c>
    </row>
    <row r="226" spans="1:5" x14ac:dyDescent="0.35">
      <c r="A226" s="1" t="s">
        <v>239</v>
      </c>
      <c r="B226">
        <v>2022</v>
      </c>
      <c r="C226">
        <v>7.8</v>
      </c>
      <c r="D226">
        <v>-53.79</v>
      </c>
      <c r="E226" s="1" t="s">
        <v>16</v>
      </c>
    </row>
    <row r="227" spans="1:5" x14ac:dyDescent="0.35">
      <c r="A227" s="1" t="s">
        <v>240</v>
      </c>
      <c r="B227">
        <v>2025</v>
      </c>
      <c r="C227">
        <v>-1.83</v>
      </c>
      <c r="D227">
        <v>-53.95</v>
      </c>
      <c r="E227" s="1" t="s">
        <v>16</v>
      </c>
    </row>
    <row r="228" spans="1:5" x14ac:dyDescent="0.35">
      <c r="A228" s="1" t="s">
        <v>241</v>
      </c>
      <c r="B228">
        <v>2022</v>
      </c>
      <c r="C228">
        <v>-7.83</v>
      </c>
      <c r="D228">
        <v>-55.47</v>
      </c>
      <c r="E228" s="1" t="s">
        <v>16</v>
      </c>
    </row>
    <row r="229" spans="1:5" x14ac:dyDescent="0.35">
      <c r="A229" s="1" t="s">
        <v>242</v>
      </c>
      <c r="B229">
        <v>2022</v>
      </c>
      <c r="C229">
        <v>-7.23</v>
      </c>
      <c r="D229">
        <v>-56.4</v>
      </c>
      <c r="E229" s="1" t="s">
        <v>16</v>
      </c>
    </row>
    <row r="230" spans="1:5" x14ac:dyDescent="0.35">
      <c r="A230" s="1" t="s">
        <v>243</v>
      </c>
      <c r="B230">
        <v>2024</v>
      </c>
      <c r="C230">
        <v>5.93</v>
      </c>
      <c r="D230">
        <v>-56.75</v>
      </c>
      <c r="E230" s="1" t="s">
        <v>16</v>
      </c>
    </row>
    <row r="231" spans="1:5" x14ac:dyDescent="0.35">
      <c r="A231" s="1" t="s">
        <v>244</v>
      </c>
      <c r="B231">
        <v>2022</v>
      </c>
      <c r="C231">
        <v>-7.77</v>
      </c>
      <c r="D231">
        <v>-58.01</v>
      </c>
      <c r="E231" s="1" t="s">
        <v>16</v>
      </c>
    </row>
    <row r="232" spans="1:5" x14ac:dyDescent="0.35">
      <c r="A232" s="1" t="s">
        <v>245</v>
      </c>
      <c r="B232">
        <v>2023</v>
      </c>
      <c r="C232">
        <v>11.38</v>
      </c>
      <c r="D232">
        <v>-59.51</v>
      </c>
      <c r="E232" s="1" t="s">
        <v>16</v>
      </c>
    </row>
    <row r="233" spans="1:5" x14ac:dyDescent="0.35">
      <c r="A233" s="1" t="s">
        <v>246</v>
      </c>
      <c r="B233">
        <v>2024</v>
      </c>
      <c r="C233">
        <v>-20.22</v>
      </c>
      <c r="D233">
        <v>-59.81</v>
      </c>
      <c r="E233" s="1" t="s">
        <v>16</v>
      </c>
    </row>
    <row r="234" spans="1:5" x14ac:dyDescent="0.35">
      <c r="A234" s="1" t="s">
        <v>247</v>
      </c>
      <c r="B234">
        <v>2023</v>
      </c>
      <c r="C234">
        <v>0.12</v>
      </c>
      <c r="D234">
        <v>-60.5</v>
      </c>
      <c r="E234" s="1" t="s">
        <v>16</v>
      </c>
    </row>
    <row r="235" spans="1:5" x14ac:dyDescent="0.35">
      <c r="A235" s="1" t="s">
        <v>248</v>
      </c>
      <c r="B235">
        <v>2022</v>
      </c>
      <c r="C235">
        <v>16.559999999999999</v>
      </c>
      <c r="D235">
        <v>-61.46</v>
      </c>
      <c r="E235" s="1" t="s">
        <v>16</v>
      </c>
    </row>
    <row r="236" spans="1:5" x14ac:dyDescent="0.35">
      <c r="A236" s="1" t="s">
        <v>249</v>
      </c>
      <c r="B236">
        <v>2023</v>
      </c>
      <c r="C236">
        <v>22.18</v>
      </c>
      <c r="D236">
        <v>-61.58</v>
      </c>
      <c r="E236" s="1" t="s">
        <v>16</v>
      </c>
    </row>
    <row r="237" spans="1:5" x14ac:dyDescent="0.35">
      <c r="A237" s="1" t="s">
        <v>250</v>
      </c>
      <c r="B237">
        <v>2024</v>
      </c>
      <c r="C237">
        <v>28.66</v>
      </c>
      <c r="D237">
        <v>-61.83</v>
      </c>
      <c r="E237" s="1" t="s">
        <v>16</v>
      </c>
    </row>
    <row r="238" spans="1:5" x14ac:dyDescent="0.35">
      <c r="A238" s="1" t="s">
        <v>251</v>
      </c>
      <c r="B238">
        <v>2021</v>
      </c>
      <c r="C238">
        <v>-1</v>
      </c>
      <c r="D238">
        <v>-61.9</v>
      </c>
      <c r="E238" s="1" t="s">
        <v>16</v>
      </c>
    </row>
    <row r="239" spans="1:5" x14ac:dyDescent="0.35">
      <c r="A239" s="1" t="s">
        <v>252</v>
      </c>
      <c r="B239">
        <v>2022</v>
      </c>
      <c r="C239">
        <v>17.350000000000001</v>
      </c>
      <c r="D239">
        <v>-63.22</v>
      </c>
      <c r="E239" s="1" t="s">
        <v>16</v>
      </c>
    </row>
    <row r="240" spans="1:5" x14ac:dyDescent="0.35">
      <c r="A240" s="1" t="s">
        <v>253</v>
      </c>
      <c r="B240">
        <v>2024</v>
      </c>
      <c r="C240">
        <v>17.989999999999998</v>
      </c>
      <c r="D240">
        <v>-63.35</v>
      </c>
      <c r="E240" s="1" t="s">
        <v>16</v>
      </c>
    </row>
    <row r="241" spans="1:5" x14ac:dyDescent="0.35">
      <c r="A241" s="1" t="s">
        <v>254</v>
      </c>
      <c r="B241">
        <v>2024</v>
      </c>
      <c r="C241">
        <v>27.31</v>
      </c>
      <c r="D241">
        <v>-63.67</v>
      </c>
      <c r="E241" s="1" t="s">
        <v>16</v>
      </c>
    </row>
    <row r="242" spans="1:5" x14ac:dyDescent="0.35">
      <c r="A242" s="1" t="s">
        <v>255</v>
      </c>
      <c r="B242">
        <v>2024</v>
      </c>
      <c r="C242">
        <v>-8.59</v>
      </c>
      <c r="D242">
        <v>-64.58</v>
      </c>
      <c r="E242" s="1" t="s">
        <v>16</v>
      </c>
    </row>
    <row r="243" spans="1:5" x14ac:dyDescent="0.35">
      <c r="A243" s="1" t="s">
        <v>256</v>
      </c>
      <c r="B243">
        <v>2024</v>
      </c>
      <c r="C243">
        <v>13.86</v>
      </c>
      <c r="D243">
        <v>-64.92</v>
      </c>
      <c r="E243" s="1" t="s">
        <v>16</v>
      </c>
    </row>
    <row r="244" spans="1:5" x14ac:dyDescent="0.35">
      <c r="A244" s="1" t="s">
        <v>257</v>
      </c>
      <c r="B244">
        <v>2024</v>
      </c>
      <c r="C244">
        <v>-6.39</v>
      </c>
      <c r="D244">
        <v>-66.52</v>
      </c>
      <c r="E244" s="1" t="s">
        <v>16</v>
      </c>
    </row>
    <row r="245" spans="1:5" x14ac:dyDescent="0.35">
      <c r="A245" s="1" t="s">
        <v>258</v>
      </c>
      <c r="B245">
        <v>2021</v>
      </c>
      <c r="C245">
        <v>23.63</v>
      </c>
      <c r="D245">
        <v>-68.260000000000005</v>
      </c>
      <c r="E245" s="1" t="s">
        <v>16</v>
      </c>
    </row>
    <row r="246" spans="1:5" x14ac:dyDescent="0.35">
      <c r="A246" s="1" t="s">
        <v>259</v>
      </c>
      <c r="B246">
        <v>2023</v>
      </c>
      <c r="C246">
        <v>11.5</v>
      </c>
      <c r="D246">
        <v>-68.69</v>
      </c>
      <c r="E246" s="1" t="s">
        <v>16</v>
      </c>
    </row>
    <row r="247" spans="1:5" x14ac:dyDescent="0.35">
      <c r="A247" s="1" t="s">
        <v>260</v>
      </c>
      <c r="B247">
        <v>2021</v>
      </c>
      <c r="C247">
        <v>29.6</v>
      </c>
      <c r="D247">
        <v>-72.489999999999995</v>
      </c>
      <c r="E247" s="1" t="s">
        <v>16</v>
      </c>
    </row>
    <row r="248" spans="1:5" x14ac:dyDescent="0.35">
      <c r="A248" s="1" t="s">
        <v>261</v>
      </c>
      <c r="B248">
        <v>2021</v>
      </c>
      <c r="C248">
        <v>-27.7</v>
      </c>
      <c r="D248">
        <v>-75.540000000000006</v>
      </c>
      <c r="E248" s="1" t="s">
        <v>16</v>
      </c>
    </row>
    <row r="249" spans="1:5" x14ac:dyDescent="0.35">
      <c r="A249" s="1" t="s">
        <v>262</v>
      </c>
      <c r="B249">
        <v>2021</v>
      </c>
      <c r="C249">
        <v>-5.74</v>
      </c>
      <c r="D249">
        <v>-77.760000000000005</v>
      </c>
      <c r="E249" s="1" t="s">
        <v>16</v>
      </c>
    </row>
    <row r="250" spans="1:5" x14ac:dyDescent="0.35">
      <c r="A250" s="1" t="s">
        <v>263</v>
      </c>
      <c r="B250">
        <v>2025</v>
      </c>
      <c r="C250">
        <v>0.8</v>
      </c>
      <c r="D250">
        <v>-84.43</v>
      </c>
      <c r="E250" s="1" t="s">
        <v>16</v>
      </c>
    </row>
    <row r="251" spans="1:5" x14ac:dyDescent="0.35">
      <c r="A251" s="1" t="s">
        <v>264</v>
      </c>
      <c r="B251">
        <v>2021</v>
      </c>
      <c r="C251">
        <v>29.67</v>
      </c>
      <c r="D251">
        <v>-84.87</v>
      </c>
      <c r="E251" s="1" t="s">
        <v>16</v>
      </c>
    </row>
    <row r="252" spans="1:5" x14ac:dyDescent="0.35">
      <c r="A252" s="1" t="s">
        <v>265</v>
      </c>
      <c r="B252">
        <v>2024</v>
      </c>
      <c r="C252">
        <v>11.13</v>
      </c>
      <c r="D252">
        <v>-91.39</v>
      </c>
      <c r="E252" s="1" t="s">
        <v>16</v>
      </c>
    </row>
    <row r="253" spans="1:5" x14ac:dyDescent="0.35">
      <c r="A253" s="1" t="s">
        <v>266</v>
      </c>
      <c r="B253">
        <v>2021</v>
      </c>
      <c r="C253">
        <v>11.47</v>
      </c>
      <c r="D253">
        <v>-92.88</v>
      </c>
      <c r="E253" s="1" t="s">
        <v>16</v>
      </c>
    </row>
    <row r="254" spans="1:5" x14ac:dyDescent="0.35">
      <c r="A254" s="1" t="s">
        <v>267</v>
      </c>
      <c r="B254">
        <v>2022</v>
      </c>
      <c r="C254">
        <v>-7.97</v>
      </c>
      <c r="D254">
        <v>-98.45</v>
      </c>
      <c r="E254" s="1" t="s">
        <v>16</v>
      </c>
    </row>
    <row r="255" spans="1:5" x14ac:dyDescent="0.35">
      <c r="A255" s="1" t="s">
        <v>268</v>
      </c>
      <c r="B255">
        <v>2021</v>
      </c>
      <c r="C255">
        <v>88.26</v>
      </c>
      <c r="D255">
        <v>1248.92</v>
      </c>
      <c r="E255" s="1" t="s">
        <v>269</v>
      </c>
    </row>
    <row r="256" spans="1:5" x14ac:dyDescent="0.35">
      <c r="A256" s="1" t="s">
        <v>270</v>
      </c>
      <c r="B256">
        <v>2023</v>
      </c>
      <c r="C256">
        <v>82.08</v>
      </c>
      <c r="D256">
        <v>887.06</v>
      </c>
      <c r="E256" s="1" t="s">
        <v>269</v>
      </c>
    </row>
    <row r="257" spans="1:5" x14ac:dyDescent="0.35">
      <c r="A257" s="1" t="s">
        <v>271</v>
      </c>
      <c r="B257">
        <v>2022</v>
      </c>
      <c r="C257">
        <v>41.14</v>
      </c>
      <c r="D257">
        <v>455.5</v>
      </c>
      <c r="E257" s="1" t="s">
        <v>269</v>
      </c>
    </row>
    <row r="258" spans="1:5" x14ac:dyDescent="0.35">
      <c r="A258" s="1" t="s">
        <v>272</v>
      </c>
      <c r="B258">
        <v>2024</v>
      </c>
      <c r="C258">
        <v>117.63</v>
      </c>
      <c r="D258">
        <v>451.91</v>
      </c>
      <c r="E258" s="1" t="s">
        <v>269</v>
      </c>
    </row>
    <row r="259" spans="1:5" x14ac:dyDescent="0.35">
      <c r="A259" s="1" t="s">
        <v>273</v>
      </c>
      <c r="B259">
        <v>2025</v>
      </c>
      <c r="C259">
        <v>60.74</v>
      </c>
      <c r="D259">
        <v>423.45</v>
      </c>
      <c r="E259" s="1" t="s">
        <v>269</v>
      </c>
    </row>
    <row r="260" spans="1:5" x14ac:dyDescent="0.35">
      <c r="A260" s="1" t="s">
        <v>274</v>
      </c>
      <c r="B260">
        <v>2021</v>
      </c>
      <c r="C260">
        <v>53.28</v>
      </c>
      <c r="D260">
        <v>418.66</v>
      </c>
      <c r="E260" s="1" t="s">
        <v>269</v>
      </c>
    </row>
    <row r="261" spans="1:5" x14ac:dyDescent="0.35">
      <c r="A261" s="1" t="s">
        <v>275</v>
      </c>
      <c r="B261">
        <v>2021</v>
      </c>
      <c r="C261">
        <v>181.4</v>
      </c>
      <c r="D261">
        <v>408.37</v>
      </c>
      <c r="E261" s="1" t="s">
        <v>269</v>
      </c>
    </row>
    <row r="262" spans="1:5" x14ac:dyDescent="0.35">
      <c r="A262" s="1" t="s">
        <v>276</v>
      </c>
      <c r="B262">
        <v>2021</v>
      </c>
      <c r="C262">
        <v>60.28</v>
      </c>
      <c r="D262">
        <v>313.23</v>
      </c>
      <c r="E262" s="1" t="s">
        <v>269</v>
      </c>
    </row>
    <row r="263" spans="1:5" x14ac:dyDescent="0.35">
      <c r="A263" s="1" t="s">
        <v>277</v>
      </c>
      <c r="B263">
        <v>2023</v>
      </c>
      <c r="C263">
        <v>51.16</v>
      </c>
      <c r="D263">
        <v>307.27</v>
      </c>
      <c r="E263" s="1" t="s">
        <v>269</v>
      </c>
    </row>
    <row r="264" spans="1:5" x14ac:dyDescent="0.35">
      <c r="A264" s="1" t="s">
        <v>278</v>
      </c>
      <c r="B264">
        <v>2023</v>
      </c>
      <c r="C264">
        <v>87.5</v>
      </c>
      <c r="D264">
        <v>285.16000000000003</v>
      </c>
      <c r="E264" s="1" t="s">
        <v>269</v>
      </c>
    </row>
    <row r="265" spans="1:5" x14ac:dyDescent="0.35">
      <c r="A265" s="1" t="s">
        <v>279</v>
      </c>
      <c r="B265">
        <v>2021</v>
      </c>
      <c r="C265">
        <v>42.65</v>
      </c>
      <c r="D265">
        <v>247.5</v>
      </c>
      <c r="E265" s="1" t="s">
        <v>269</v>
      </c>
    </row>
    <row r="266" spans="1:5" x14ac:dyDescent="0.35">
      <c r="A266" s="1" t="s">
        <v>280</v>
      </c>
      <c r="B266">
        <v>2021</v>
      </c>
      <c r="C266">
        <v>65.790000000000006</v>
      </c>
      <c r="D266">
        <v>234.61</v>
      </c>
      <c r="E266" s="1" t="s">
        <v>269</v>
      </c>
    </row>
    <row r="267" spans="1:5" x14ac:dyDescent="0.35">
      <c r="A267" s="1" t="s">
        <v>281</v>
      </c>
      <c r="B267">
        <v>2024</v>
      </c>
      <c r="C267">
        <v>65.180000000000007</v>
      </c>
      <c r="D267">
        <v>216.33</v>
      </c>
      <c r="E267" s="1" t="s">
        <v>269</v>
      </c>
    </row>
    <row r="268" spans="1:5" x14ac:dyDescent="0.35">
      <c r="A268" s="1" t="s">
        <v>282</v>
      </c>
      <c r="B268">
        <v>2022</v>
      </c>
      <c r="C268">
        <v>50.98</v>
      </c>
      <c r="D268">
        <v>177.16</v>
      </c>
      <c r="E268" s="1" t="s">
        <v>269</v>
      </c>
    </row>
    <row r="269" spans="1:5" x14ac:dyDescent="0.35">
      <c r="A269" s="1" t="s">
        <v>283</v>
      </c>
      <c r="B269">
        <v>2023</v>
      </c>
      <c r="C269">
        <v>67.849999999999994</v>
      </c>
      <c r="D269">
        <v>168.72</v>
      </c>
      <c r="E269" s="1" t="s">
        <v>269</v>
      </c>
    </row>
    <row r="270" spans="1:5" x14ac:dyDescent="0.35">
      <c r="A270" s="1" t="s">
        <v>284</v>
      </c>
      <c r="B270">
        <v>2024</v>
      </c>
      <c r="C270">
        <v>42.47</v>
      </c>
      <c r="D270">
        <v>166.74</v>
      </c>
      <c r="E270" s="1" t="s">
        <v>269</v>
      </c>
    </row>
    <row r="271" spans="1:5" x14ac:dyDescent="0.35">
      <c r="A271" s="1" t="s">
        <v>285</v>
      </c>
      <c r="B271">
        <v>2024</v>
      </c>
      <c r="C271">
        <v>42.68</v>
      </c>
      <c r="D271">
        <v>161.27000000000001</v>
      </c>
      <c r="E271" s="1" t="s">
        <v>269</v>
      </c>
    </row>
    <row r="272" spans="1:5" x14ac:dyDescent="0.35">
      <c r="A272" s="1" t="s">
        <v>286</v>
      </c>
      <c r="B272">
        <v>2024</v>
      </c>
      <c r="C272">
        <v>86.64</v>
      </c>
      <c r="D272">
        <v>139.66999999999999</v>
      </c>
      <c r="E272" s="1" t="s">
        <v>269</v>
      </c>
    </row>
    <row r="273" spans="1:5" x14ac:dyDescent="0.35">
      <c r="A273" s="1" t="s">
        <v>287</v>
      </c>
      <c r="B273">
        <v>2023</v>
      </c>
      <c r="C273">
        <v>32.18</v>
      </c>
      <c r="D273">
        <v>129.33000000000001</v>
      </c>
      <c r="E273" s="1" t="s">
        <v>269</v>
      </c>
    </row>
    <row r="274" spans="1:5" x14ac:dyDescent="0.35">
      <c r="A274" s="1" t="s">
        <v>288</v>
      </c>
      <c r="B274">
        <v>2023</v>
      </c>
      <c r="C274">
        <v>42.42</v>
      </c>
      <c r="D274">
        <v>128.22</v>
      </c>
      <c r="E274" s="1" t="s">
        <v>269</v>
      </c>
    </row>
    <row r="275" spans="1:5" x14ac:dyDescent="0.35">
      <c r="A275" s="1" t="s">
        <v>289</v>
      </c>
      <c r="B275">
        <v>2020</v>
      </c>
      <c r="C275">
        <v>123.46</v>
      </c>
      <c r="D275">
        <v>119.94</v>
      </c>
      <c r="E275" s="1" t="s">
        <v>269</v>
      </c>
    </row>
    <row r="276" spans="1:5" x14ac:dyDescent="0.35">
      <c r="A276" s="1" t="s">
        <v>290</v>
      </c>
      <c r="B276">
        <v>2023</v>
      </c>
      <c r="C276">
        <v>31.69</v>
      </c>
      <c r="D276">
        <v>118</v>
      </c>
      <c r="E276" s="1" t="s">
        <v>269</v>
      </c>
    </row>
    <row r="277" spans="1:5" x14ac:dyDescent="0.35">
      <c r="A277" s="1" t="s">
        <v>291</v>
      </c>
      <c r="B277">
        <v>2023</v>
      </c>
      <c r="C277">
        <v>88.27</v>
      </c>
      <c r="D277">
        <v>115.09</v>
      </c>
      <c r="E277" s="1" t="s">
        <v>269</v>
      </c>
    </row>
    <row r="278" spans="1:5" x14ac:dyDescent="0.35">
      <c r="A278" s="1" t="s">
        <v>292</v>
      </c>
      <c r="B278">
        <v>2025</v>
      </c>
      <c r="C278">
        <v>40</v>
      </c>
      <c r="D278">
        <v>114.83</v>
      </c>
      <c r="E278" s="1" t="s">
        <v>269</v>
      </c>
    </row>
    <row r="279" spans="1:5" x14ac:dyDescent="0.35">
      <c r="A279" s="1" t="s">
        <v>293</v>
      </c>
      <c r="B279">
        <v>2024</v>
      </c>
      <c r="C279">
        <v>39.28</v>
      </c>
      <c r="D279">
        <v>111.28</v>
      </c>
      <c r="E279" s="1" t="s">
        <v>269</v>
      </c>
    </row>
    <row r="280" spans="1:5" x14ac:dyDescent="0.35">
      <c r="A280" s="1" t="s">
        <v>294</v>
      </c>
      <c r="B280">
        <v>2024</v>
      </c>
      <c r="C280">
        <v>55.62</v>
      </c>
      <c r="D280">
        <v>104.28</v>
      </c>
      <c r="E280" s="1" t="s">
        <v>269</v>
      </c>
    </row>
    <row r="281" spans="1:5" x14ac:dyDescent="0.35">
      <c r="A281" s="1" t="s">
        <v>295</v>
      </c>
      <c r="B281">
        <v>2024</v>
      </c>
      <c r="C281">
        <v>46.8</v>
      </c>
      <c r="D281">
        <v>28.18</v>
      </c>
      <c r="E281" s="1" t="s">
        <v>296</v>
      </c>
    </row>
    <row r="282" spans="1:5" x14ac:dyDescent="0.35">
      <c r="A282" s="1" t="s">
        <v>297</v>
      </c>
      <c r="B282">
        <v>2025</v>
      </c>
      <c r="C282">
        <v>30.55</v>
      </c>
      <c r="D282">
        <v>27.68</v>
      </c>
      <c r="E282" s="1" t="s">
        <v>296</v>
      </c>
    </row>
    <row r="283" spans="1:5" x14ac:dyDescent="0.35">
      <c r="A283" s="1" t="s">
        <v>298</v>
      </c>
      <c r="B283">
        <v>2024</v>
      </c>
      <c r="C283">
        <v>47.54</v>
      </c>
      <c r="D283">
        <v>27.03</v>
      </c>
      <c r="E283" s="1" t="s">
        <v>296</v>
      </c>
    </row>
    <row r="284" spans="1:5" x14ac:dyDescent="0.35">
      <c r="A284" s="1" t="s">
        <v>299</v>
      </c>
      <c r="B284">
        <v>2021</v>
      </c>
      <c r="C284">
        <v>37.22</v>
      </c>
      <c r="D284">
        <v>26.17</v>
      </c>
      <c r="E284" s="1" t="s">
        <v>296</v>
      </c>
    </row>
    <row r="285" spans="1:5" x14ac:dyDescent="0.35">
      <c r="A285" s="1" t="s">
        <v>300</v>
      </c>
      <c r="B285">
        <v>2024</v>
      </c>
      <c r="C285">
        <v>39.909999999999997</v>
      </c>
      <c r="D285">
        <v>25.61</v>
      </c>
      <c r="E285" s="1" t="s">
        <v>296</v>
      </c>
    </row>
    <row r="286" spans="1:5" x14ac:dyDescent="0.35">
      <c r="A286" s="1" t="s">
        <v>301</v>
      </c>
      <c r="B286">
        <v>2020</v>
      </c>
      <c r="C286">
        <v>74.510000000000005</v>
      </c>
      <c r="D286">
        <v>23.92</v>
      </c>
      <c r="E286" s="1" t="s">
        <v>296</v>
      </c>
    </row>
    <row r="287" spans="1:5" x14ac:dyDescent="0.35">
      <c r="A287" s="1" t="s">
        <v>302</v>
      </c>
      <c r="B287">
        <v>2024</v>
      </c>
      <c r="C287">
        <v>36.86</v>
      </c>
      <c r="D287">
        <v>20.329999999999998</v>
      </c>
      <c r="E287" s="1" t="s">
        <v>296</v>
      </c>
    </row>
    <row r="288" spans="1:5" x14ac:dyDescent="0.35">
      <c r="A288" s="1" t="s">
        <v>303</v>
      </c>
      <c r="B288">
        <v>2025</v>
      </c>
      <c r="C288">
        <v>61.97</v>
      </c>
      <c r="D288">
        <v>19.809999999999999</v>
      </c>
      <c r="E288" s="1" t="s">
        <v>296</v>
      </c>
    </row>
    <row r="289" spans="1:5" x14ac:dyDescent="0.35">
      <c r="A289" s="1" t="s">
        <v>304</v>
      </c>
      <c r="B289">
        <v>2022</v>
      </c>
      <c r="C289">
        <v>47.42</v>
      </c>
      <c r="D289">
        <v>19.53</v>
      </c>
      <c r="E289" s="1" t="s">
        <v>296</v>
      </c>
    </row>
    <row r="290" spans="1:5" x14ac:dyDescent="0.35">
      <c r="A290" s="1" t="s">
        <v>305</v>
      </c>
      <c r="B290">
        <v>2024</v>
      </c>
      <c r="C290">
        <v>135.71</v>
      </c>
      <c r="D290">
        <v>19.16</v>
      </c>
      <c r="E290" s="1" t="s">
        <v>296</v>
      </c>
    </row>
    <row r="291" spans="1:5" x14ac:dyDescent="0.35">
      <c r="A291" s="1" t="s">
        <v>306</v>
      </c>
      <c r="B291">
        <v>2024</v>
      </c>
      <c r="C291">
        <v>65.27</v>
      </c>
      <c r="D291">
        <v>14.5</v>
      </c>
      <c r="E291" s="1" t="s">
        <v>296</v>
      </c>
    </row>
    <row r="292" spans="1:5" x14ac:dyDescent="0.35">
      <c r="A292" s="1" t="s">
        <v>307</v>
      </c>
      <c r="B292">
        <v>2020</v>
      </c>
      <c r="C292">
        <v>125</v>
      </c>
      <c r="D292">
        <v>14.2</v>
      </c>
      <c r="E292" s="1" t="s">
        <v>296</v>
      </c>
    </row>
    <row r="293" spans="1:5" x14ac:dyDescent="0.35">
      <c r="A293" s="1" t="s">
        <v>308</v>
      </c>
      <c r="B293">
        <v>2025</v>
      </c>
      <c r="C293">
        <v>53.1</v>
      </c>
      <c r="D293">
        <v>11.98</v>
      </c>
      <c r="E293" s="1" t="s">
        <v>296</v>
      </c>
    </row>
    <row r="294" spans="1:5" x14ac:dyDescent="0.35">
      <c r="A294" s="1" t="s">
        <v>309</v>
      </c>
      <c r="B294">
        <v>2021</v>
      </c>
      <c r="C294">
        <v>113.5</v>
      </c>
      <c r="D294">
        <v>9.9499999999999993</v>
      </c>
      <c r="E294" s="1" t="s">
        <v>296</v>
      </c>
    </row>
    <row r="295" spans="1:5" x14ac:dyDescent="0.35">
      <c r="A295" s="1" t="s">
        <v>310</v>
      </c>
      <c r="B295">
        <v>2021</v>
      </c>
      <c r="C295">
        <v>40.85</v>
      </c>
      <c r="D295">
        <v>8.08</v>
      </c>
      <c r="E295" s="1" t="s">
        <v>296</v>
      </c>
    </row>
    <row r="296" spans="1:5" x14ac:dyDescent="0.35">
      <c r="A296" s="1" t="s">
        <v>311</v>
      </c>
      <c r="B296">
        <v>2021</v>
      </c>
      <c r="C296">
        <v>108.73</v>
      </c>
      <c r="D296">
        <v>4.03</v>
      </c>
      <c r="E296" s="1" t="s">
        <v>296</v>
      </c>
    </row>
    <row r="297" spans="1:5" x14ac:dyDescent="0.35">
      <c r="A297" s="1" t="s">
        <v>312</v>
      </c>
      <c r="B297">
        <v>2024</v>
      </c>
      <c r="C297">
        <v>58.42</v>
      </c>
      <c r="D297">
        <v>2.39</v>
      </c>
      <c r="E297" s="1" t="s">
        <v>296</v>
      </c>
    </row>
    <row r="298" spans="1:5" x14ac:dyDescent="0.35">
      <c r="A298" s="1" t="s">
        <v>313</v>
      </c>
      <c r="B298">
        <v>2024</v>
      </c>
      <c r="C298">
        <v>67.36</v>
      </c>
      <c r="D298">
        <v>1.49</v>
      </c>
      <c r="E298" s="1" t="s">
        <v>296</v>
      </c>
    </row>
    <row r="299" spans="1:5" x14ac:dyDescent="0.35">
      <c r="A299" s="1" t="s">
        <v>314</v>
      </c>
      <c r="B299">
        <v>2025</v>
      </c>
      <c r="C299">
        <v>42.42</v>
      </c>
      <c r="D299">
        <v>-2.29</v>
      </c>
      <c r="E299" s="1" t="s">
        <v>296</v>
      </c>
    </row>
    <row r="300" spans="1:5" x14ac:dyDescent="0.35">
      <c r="A300" s="1" t="s">
        <v>315</v>
      </c>
      <c r="B300">
        <v>2023</v>
      </c>
      <c r="C300">
        <v>78.34</v>
      </c>
      <c r="D300">
        <v>-4.1100000000000003</v>
      </c>
      <c r="E300" s="1" t="s">
        <v>296</v>
      </c>
    </row>
    <row r="301" spans="1:5" x14ac:dyDescent="0.35">
      <c r="A301" s="1" t="s">
        <v>316</v>
      </c>
      <c r="B301">
        <v>2022</v>
      </c>
      <c r="C301">
        <v>49.01</v>
      </c>
      <c r="D301">
        <v>-4.6399999999999997</v>
      </c>
      <c r="E301" s="1" t="s">
        <v>296</v>
      </c>
    </row>
    <row r="302" spans="1:5" x14ac:dyDescent="0.35">
      <c r="A302" s="1" t="s">
        <v>317</v>
      </c>
      <c r="B302">
        <v>2023</v>
      </c>
      <c r="C302">
        <v>48.32</v>
      </c>
      <c r="D302">
        <v>-5.59</v>
      </c>
      <c r="E302" s="1" t="s">
        <v>296</v>
      </c>
    </row>
    <row r="303" spans="1:5" x14ac:dyDescent="0.35">
      <c r="A303" s="1" t="s">
        <v>318</v>
      </c>
      <c r="B303">
        <v>2023</v>
      </c>
      <c r="C303">
        <v>48.52</v>
      </c>
      <c r="D303">
        <v>-11.02</v>
      </c>
      <c r="E303" s="1" t="s">
        <v>296</v>
      </c>
    </row>
    <row r="304" spans="1:5" x14ac:dyDescent="0.35">
      <c r="A304" s="1" t="s">
        <v>319</v>
      </c>
      <c r="B304">
        <v>2021</v>
      </c>
      <c r="C304">
        <v>76.14</v>
      </c>
      <c r="D304">
        <v>-12.43</v>
      </c>
      <c r="E304" s="1" t="s">
        <v>296</v>
      </c>
    </row>
    <row r="305" spans="1:5" x14ac:dyDescent="0.35">
      <c r="A305" s="1" t="s">
        <v>320</v>
      </c>
      <c r="B305">
        <v>2021</v>
      </c>
      <c r="C305">
        <v>34.909999999999997</v>
      </c>
      <c r="D305">
        <v>-19.440000000000001</v>
      </c>
      <c r="E305" s="1" t="s">
        <v>296</v>
      </c>
    </row>
    <row r="306" spans="1:5" x14ac:dyDescent="0.35">
      <c r="A306" s="1" t="s">
        <v>321</v>
      </c>
      <c r="B306">
        <v>2024</v>
      </c>
      <c r="C306">
        <v>94.52</v>
      </c>
      <c r="D306">
        <v>-19.559999999999999</v>
      </c>
      <c r="E306" s="1" t="s">
        <v>296</v>
      </c>
    </row>
    <row r="307" spans="1:5" x14ac:dyDescent="0.35">
      <c r="A307" s="1" t="s">
        <v>322</v>
      </c>
      <c r="B307">
        <v>2024</v>
      </c>
      <c r="C307">
        <v>50.89</v>
      </c>
      <c r="D307">
        <v>-21.57</v>
      </c>
      <c r="E307" s="1" t="s">
        <v>296</v>
      </c>
    </row>
    <row r="308" spans="1:5" x14ac:dyDescent="0.35">
      <c r="A308" s="1" t="s">
        <v>323</v>
      </c>
      <c r="B308">
        <v>2024</v>
      </c>
      <c r="C308">
        <v>195.53</v>
      </c>
      <c r="D308">
        <v>-23.71</v>
      </c>
      <c r="E308" s="1" t="s">
        <v>296</v>
      </c>
    </row>
    <row r="309" spans="1:5" x14ac:dyDescent="0.35">
      <c r="A309" s="1" t="s">
        <v>324</v>
      </c>
      <c r="B309">
        <v>2024</v>
      </c>
      <c r="C309">
        <v>31.32</v>
      </c>
      <c r="D309">
        <v>-25.03</v>
      </c>
      <c r="E309" s="1" t="s">
        <v>296</v>
      </c>
    </row>
    <row r="310" spans="1:5" x14ac:dyDescent="0.35">
      <c r="A310" s="1" t="s">
        <v>325</v>
      </c>
      <c r="B310">
        <v>2024</v>
      </c>
      <c r="C310">
        <v>89.25</v>
      </c>
      <c r="D310">
        <v>-30.09</v>
      </c>
      <c r="E310" s="1" t="s">
        <v>296</v>
      </c>
    </row>
    <row r="311" spans="1:5" x14ac:dyDescent="0.35">
      <c r="A311" s="1" t="s">
        <v>326</v>
      </c>
      <c r="B311">
        <v>2025</v>
      </c>
      <c r="C311">
        <v>33.65</v>
      </c>
      <c r="D311">
        <v>-30.5</v>
      </c>
      <c r="E311" s="1" t="s">
        <v>296</v>
      </c>
    </row>
    <row r="312" spans="1:5" x14ac:dyDescent="0.35">
      <c r="A312" s="1" t="s">
        <v>24</v>
      </c>
      <c r="B312">
        <v>2025</v>
      </c>
      <c r="C312">
        <v>40.67</v>
      </c>
      <c r="D312">
        <v>-31.41</v>
      </c>
      <c r="E312" s="1" t="s">
        <v>296</v>
      </c>
    </row>
    <row r="313" spans="1:5" x14ac:dyDescent="0.35">
      <c r="A313" s="1" t="s">
        <v>327</v>
      </c>
      <c r="B313">
        <v>2025</v>
      </c>
      <c r="C313">
        <v>72.5</v>
      </c>
      <c r="D313">
        <v>-32.130000000000003</v>
      </c>
      <c r="E313" s="1" t="s">
        <v>296</v>
      </c>
    </row>
    <row r="314" spans="1:5" x14ac:dyDescent="0.35">
      <c r="A314" s="1" t="s">
        <v>328</v>
      </c>
      <c r="B314">
        <v>2024</v>
      </c>
      <c r="C314">
        <v>40.85</v>
      </c>
      <c r="D314">
        <v>-34.76</v>
      </c>
      <c r="E314" s="1" t="s">
        <v>296</v>
      </c>
    </row>
    <row r="315" spans="1:5" x14ac:dyDescent="0.35">
      <c r="A315" s="1" t="s">
        <v>329</v>
      </c>
      <c r="B315">
        <v>2021</v>
      </c>
      <c r="C315">
        <v>109.2</v>
      </c>
      <c r="D315">
        <v>-35.85</v>
      </c>
      <c r="E315" s="1" t="s">
        <v>296</v>
      </c>
    </row>
    <row r="316" spans="1:5" x14ac:dyDescent="0.35">
      <c r="A316" s="1" t="s">
        <v>330</v>
      </c>
      <c r="B316">
        <v>2020</v>
      </c>
      <c r="C316">
        <v>106.32</v>
      </c>
      <c r="D316">
        <v>-40.42</v>
      </c>
      <c r="E316" s="1" t="s">
        <v>296</v>
      </c>
    </row>
    <row r="317" spans="1:5" x14ac:dyDescent="0.35">
      <c r="A317" s="1" t="s">
        <v>331</v>
      </c>
      <c r="B317">
        <v>2021</v>
      </c>
      <c r="C317">
        <v>81.7</v>
      </c>
      <c r="D317">
        <v>-41.54</v>
      </c>
      <c r="E317" s="1" t="s">
        <v>296</v>
      </c>
    </row>
    <row r="318" spans="1:5" x14ac:dyDescent="0.35">
      <c r="A318" s="1" t="s">
        <v>332</v>
      </c>
      <c r="B318">
        <v>2021</v>
      </c>
      <c r="C318">
        <v>61.44</v>
      </c>
      <c r="D318">
        <v>-41.85</v>
      </c>
      <c r="E318" s="1" t="s">
        <v>296</v>
      </c>
    </row>
    <row r="319" spans="1:5" x14ac:dyDescent="0.35">
      <c r="A319" s="1" t="s">
        <v>333</v>
      </c>
      <c r="B319">
        <v>2025</v>
      </c>
      <c r="C319">
        <v>33.04</v>
      </c>
      <c r="D319">
        <v>-44.25</v>
      </c>
      <c r="E319" s="1" t="s">
        <v>296</v>
      </c>
    </row>
    <row r="320" spans="1:5" x14ac:dyDescent="0.35">
      <c r="A320" s="1" t="s">
        <v>334</v>
      </c>
      <c r="B320">
        <v>2023</v>
      </c>
      <c r="C320">
        <v>41.7</v>
      </c>
      <c r="D320">
        <v>-45.7</v>
      </c>
      <c r="E320" s="1" t="s">
        <v>296</v>
      </c>
    </row>
    <row r="321" spans="1:5" x14ac:dyDescent="0.35">
      <c r="A321" s="1" t="s">
        <v>335</v>
      </c>
      <c r="B321">
        <v>2020</v>
      </c>
      <c r="C321">
        <v>72</v>
      </c>
      <c r="D321">
        <v>-46.07</v>
      </c>
      <c r="E321" s="1" t="s">
        <v>296</v>
      </c>
    </row>
    <row r="322" spans="1:5" x14ac:dyDescent="0.35">
      <c r="A322" s="1" t="s">
        <v>336</v>
      </c>
      <c r="B322">
        <v>2024</v>
      </c>
      <c r="C322">
        <v>46.68</v>
      </c>
      <c r="D322">
        <v>-48.75</v>
      </c>
      <c r="E322" s="1" t="s">
        <v>296</v>
      </c>
    </row>
    <row r="323" spans="1:5" x14ac:dyDescent="0.35">
      <c r="A323" s="1" t="s">
        <v>337</v>
      </c>
      <c r="B323">
        <v>2023</v>
      </c>
      <c r="C323">
        <v>92</v>
      </c>
      <c r="D323">
        <v>-50.08</v>
      </c>
      <c r="E323" s="1" t="s">
        <v>296</v>
      </c>
    </row>
    <row r="324" spans="1:5" x14ac:dyDescent="0.35">
      <c r="A324" s="1" t="s">
        <v>338</v>
      </c>
      <c r="B324">
        <v>2024</v>
      </c>
      <c r="C324">
        <v>46.04</v>
      </c>
      <c r="D324">
        <v>-52.77</v>
      </c>
      <c r="E324" s="1" t="s">
        <v>296</v>
      </c>
    </row>
    <row r="325" spans="1:5" x14ac:dyDescent="0.35">
      <c r="A325" s="1" t="s">
        <v>339</v>
      </c>
      <c r="B325">
        <v>2024</v>
      </c>
      <c r="C325">
        <v>32.68</v>
      </c>
      <c r="D325">
        <v>-62.22</v>
      </c>
      <c r="E325" s="1" t="s">
        <v>296</v>
      </c>
    </row>
    <row r="326" spans="1:5" x14ac:dyDescent="0.35">
      <c r="A326" s="1" t="s">
        <v>340</v>
      </c>
      <c r="B326">
        <v>2023</v>
      </c>
      <c r="C326">
        <v>47.17</v>
      </c>
      <c r="D326">
        <v>-67.08</v>
      </c>
      <c r="E326" s="1" t="s">
        <v>296</v>
      </c>
    </row>
    <row r="327" spans="1:5" x14ac:dyDescent="0.35">
      <c r="A327" s="1" t="s">
        <v>341</v>
      </c>
      <c r="B327">
        <v>2021</v>
      </c>
      <c r="C327">
        <v>96.07</v>
      </c>
      <c r="D327">
        <v>-76.23</v>
      </c>
      <c r="E327" s="1" t="s">
        <v>296</v>
      </c>
    </row>
    <row r="328" spans="1:5" x14ac:dyDescent="0.35">
      <c r="A328" s="1" t="s">
        <v>342</v>
      </c>
      <c r="B328">
        <v>2022</v>
      </c>
      <c r="C328">
        <v>41.84</v>
      </c>
      <c r="D328">
        <v>-77.56</v>
      </c>
      <c r="E328" s="1" t="s">
        <v>296</v>
      </c>
    </row>
    <row r="329" spans="1:5" x14ac:dyDescent="0.35">
      <c r="A329" s="1" t="s">
        <v>343</v>
      </c>
      <c r="B329">
        <v>2020</v>
      </c>
      <c r="C329">
        <v>18.59</v>
      </c>
      <c r="D329">
        <v>3272.76</v>
      </c>
      <c r="E329" s="1" t="s">
        <v>344</v>
      </c>
    </row>
    <row r="330" spans="1:5" x14ac:dyDescent="0.35">
      <c r="A330" s="1" t="s">
        <v>345</v>
      </c>
      <c r="B330">
        <v>2021</v>
      </c>
      <c r="C330">
        <v>29.06</v>
      </c>
      <c r="D330">
        <v>617.01</v>
      </c>
      <c r="E330" s="1" t="s">
        <v>344</v>
      </c>
    </row>
    <row r="331" spans="1:5" x14ac:dyDescent="0.35">
      <c r="A331" s="1" t="s">
        <v>346</v>
      </c>
      <c r="B331">
        <v>2021</v>
      </c>
      <c r="C331">
        <v>-3.65</v>
      </c>
      <c r="D331">
        <v>516.59</v>
      </c>
      <c r="E331" s="1" t="s">
        <v>344</v>
      </c>
    </row>
    <row r="332" spans="1:5" x14ac:dyDescent="0.35">
      <c r="A332" s="1" t="s">
        <v>347</v>
      </c>
      <c r="B332">
        <v>2022</v>
      </c>
      <c r="C332">
        <v>17.54</v>
      </c>
      <c r="D332">
        <v>443.65</v>
      </c>
      <c r="E332" s="1" t="s">
        <v>344</v>
      </c>
    </row>
    <row r="333" spans="1:5" x14ac:dyDescent="0.35">
      <c r="A333" s="1" t="s">
        <v>348</v>
      </c>
      <c r="B333">
        <v>2021</v>
      </c>
      <c r="C333">
        <v>20.84</v>
      </c>
      <c r="D333">
        <v>363.45</v>
      </c>
      <c r="E333" s="1" t="s">
        <v>344</v>
      </c>
    </row>
    <row r="334" spans="1:5" x14ac:dyDescent="0.35">
      <c r="A334" s="1" t="s">
        <v>349</v>
      </c>
      <c r="B334">
        <v>2022</v>
      </c>
      <c r="C334">
        <v>8.6999999999999993</v>
      </c>
      <c r="D334">
        <v>351.7</v>
      </c>
      <c r="E334" s="1" t="s">
        <v>344</v>
      </c>
    </row>
    <row r="335" spans="1:5" x14ac:dyDescent="0.35">
      <c r="A335" s="1" t="s">
        <v>350</v>
      </c>
      <c r="B335">
        <v>2023</v>
      </c>
      <c r="C335">
        <v>29.29</v>
      </c>
      <c r="D335">
        <v>320.54000000000002</v>
      </c>
      <c r="E335" s="1" t="s">
        <v>344</v>
      </c>
    </row>
    <row r="336" spans="1:5" x14ac:dyDescent="0.35">
      <c r="A336" s="1" t="s">
        <v>351</v>
      </c>
      <c r="B336">
        <v>2022</v>
      </c>
      <c r="C336">
        <v>-10.83</v>
      </c>
      <c r="D336">
        <v>316.83</v>
      </c>
      <c r="E336" s="1" t="s">
        <v>344</v>
      </c>
    </row>
    <row r="337" spans="1:5" x14ac:dyDescent="0.35">
      <c r="A337" s="1" t="s">
        <v>352</v>
      </c>
      <c r="B337">
        <v>2021</v>
      </c>
      <c r="C337">
        <v>-13.56</v>
      </c>
      <c r="D337">
        <v>316.32</v>
      </c>
      <c r="E337" s="1" t="s">
        <v>344</v>
      </c>
    </row>
    <row r="338" spans="1:5" x14ac:dyDescent="0.35">
      <c r="A338" s="1" t="s">
        <v>353</v>
      </c>
      <c r="B338">
        <v>2021</v>
      </c>
      <c r="C338">
        <v>10.02</v>
      </c>
      <c r="D338">
        <v>293.37</v>
      </c>
      <c r="E338" s="1" t="s">
        <v>344</v>
      </c>
    </row>
    <row r="339" spans="1:5" x14ac:dyDescent="0.35">
      <c r="A339" s="1" t="s">
        <v>354</v>
      </c>
      <c r="B339">
        <v>2023</v>
      </c>
      <c r="C339">
        <v>-8.7200000000000006</v>
      </c>
      <c r="D339">
        <v>276.32</v>
      </c>
      <c r="E339" s="1" t="s">
        <v>344</v>
      </c>
    </row>
    <row r="340" spans="1:5" x14ac:dyDescent="0.35">
      <c r="A340" s="1" t="s">
        <v>355</v>
      </c>
      <c r="B340">
        <v>2021</v>
      </c>
      <c r="C340">
        <v>-4.62</v>
      </c>
      <c r="D340">
        <v>269.54000000000002</v>
      </c>
      <c r="E340" s="1" t="s">
        <v>344</v>
      </c>
    </row>
    <row r="341" spans="1:5" x14ac:dyDescent="0.35">
      <c r="A341" s="1" t="s">
        <v>356</v>
      </c>
      <c r="B341">
        <v>2021</v>
      </c>
      <c r="C341">
        <v>-5.87</v>
      </c>
      <c r="D341">
        <v>267.54000000000002</v>
      </c>
      <c r="E341" s="1" t="s">
        <v>344</v>
      </c>
    </row>
    <row r="342" spans="1:5" x14ac:dyDescent="0.35">
      <c r="A342" s="1" t="s">
        <v>357</v>
      </c>
      <c r="B342">
        <v>2022</v>
      </c>
      <c r="C342">
        <v>23.6</v>
      </c>
      <c r="D342">
        <v>266.04000000000002</v>
      </c>
      <c r="E342" s="1" t="s">
        <v>344</v>
      </c>
    </row>
    <row r="343" spans="1:5" x14ac:dyDescent="0.35">
      <c r="A343" s="1" t="s">
        <v>358</v>
      </c>
      <c r="B343">
        <v>2020</v>
      </c>
      <c r="C343">
        <v>13.75</v>
      </c>
      <c r="D343">
        <v>243.58</v>
      </c>
      <c r="E343" s="1" t="s">
        <v>344</v>
      </c>
    </row>
    <row r="344" spans="1:5" x14ac:dyDescent="0.35">
      <c r="A344" s="1" t="s">
        <v>359</v>
      </c>
      <c r="B344">
        <v>2021</v>
      </c>
      <c r="C344">
        <v>29.1</v>
      </c>
      <c r="D344">
        <v>234.47</v>
      </c>
      <c r="E344" s="1" t="s">
        <v>344</v>
      </c>
    </row>
    <row r="345" spans="1:5" x14ac:dyDescent="0.35">
      <c r="A345" s="1" t="s">
        <v>360</v>
      </c>
      <c r="B345">
        <v>2021</v>
      </c>
      <c r="C345">
        <v>22.92</v>
      </c>
      <c r="D345">
        <v>227.6</v>
      </c>
      <c r="E345" s="1" t="s">
        <v>344</v>
      </c>
    </row>
    <row r="346" spans="1:5" x14ac:dyDescent="0.35">
      <c r="A346" s="1" t="s">
        <v>361</v>
      </c>
      <c r="B346">
        <v>2021</v>
      </c>
      <c r="C346">
        <v>6.1</v>
      </c>
      <c r="D346">
        <v>218.47</v>
      </c>
      <c r="E346" s="1" t="s">
        <v>344</v>
      </c>
    </row>
    <row r="347" spans="1:5" x14ac:dyDescent="0.35">
      <c r="A347" s="1" t="s">
        <v>362</v>
      </c>
      <c r="B347">
        <v>2025</v>
      </c>
      <c r="C347">
        <v>-5.83</v>
      </c>
      <c r="D347">
        <v>207.85</v>
      </c>
      <c r="E347" s="1" t="s">
        <v>344</v>
      </c>
    </row>
    <row r="348" spans="1:5" x14ac:dyDescent="0.35">
      <c r="A348" s="1" t="s">
        <v>363</v>
      </c>
      <c r="B348">
        <v>2022</v>
      </c>
      <c r="C348">
        <v>4.5199999999999996</v>
      </c>
      <c r="D348">
        <v>200.12</v>
      </c>
      <c r="E348" s="1" t="s">
        <v>344</v>
      </c>
    </row>
    <row r="349" spans="1:5" x14ac:dyDescent="0.35">
      <c r="A349" s="1" t="s">
        <v>364</v>
      </c>
      <c r="B349">
        <v>2025</v>
      </c>
      <c r="C349">
        <v>9.1999999999999993</v>
      </c>
      <c r="D349">
        <v>185.39</v>
      </c>
      <c r="E349" s="1" t="s">
        <v>344</v>
      </c>
    </row>
    <row r="350" spans="1:5" x14ac:dyDescent="0.35">
      <c r="A350" s="1" t="s">
        <v>365</v>
      </c>
      <c r="B350">
        <v>2022</v>
      </c>
      <c r="C350">
        <v>-8.5299999999999994</v>
      </c>
      <c r="D350">
        <v>170.44</v>
      </c>
      <c r="E350" s="1" t="s">
        <v>344</v>
      </c>
    </row>
    <row r="351" spans="1:5" x14ac:dyDescent="0.35">
      <c r="A351" s="1" t="s">
        <v>366</v>
      </c>
      <c r="B351">
        <v>2023</v>
      </c>
      <c r="C351">
        <v>11.28</v>
      </c>
      <c r="D351">
        <v>169.37</v>
      </c>
      <c r="E351" s="1" t="s">
        <v>344</v>
      </c>
    </row>
    <row r="352" spans="1:5" x14ac:dyDescent="0.35">
      <c r="A352" s="1" t="s">
        <v>367</v>
      </c>
      <c r="B352">
        <v>2025</v>
      </c>
      <c r="C352">
        <v>29.53</v>
      </c>
      <c r="D352">
        <v>167.36</v>
      </c>
      <c r="E352" s="1" t="s">
        <v>344</v>
      </c>
    </row>
    <row r="353" spans="1:5" x14ac:dyDescent="0.35">
      <c r="A353" s="1" t="s">
        <v>368</v>
      </c>
      <c r="B353">
        <v>2022</v>
      </c>
      <c r="C353">
        <v>-9.08</v>
      </c>
      <c r="D353">
        <v>159.85</v>
      </c>
      <c r="E353" s="1" t="s">
        <v>344</v>
      </c>
    </row>
    <row r="354" spans="1:5" x14ac:dyDescent="0.35">
      <c r="A354" s="1" t="s">
        <v>369</v>
      </c>
      <c r="B354">
        <v>2021</v>
      </c>
      <c r="C354">
        <v>16.78</v>
      </c>
      <c r="D354">
        <v>156.08000000000001</v>
      </c>
      <c r="E354" s="1" t="s">
        <v>344</v>
      </c>
    </row>
    <row r="355" spans="1:5" x14ac:dyDescent="0.35">
      <c r="A355" s="1" t="s">
        <v>370</v>
      </c>
      <c r="B355">
        <v>2022</v>
      </c>
      <c r="C355">
        <v>-16.940000000000001</v>
      </c>
      <c r="D355">
        <v>149.27000000000001</v>
      </c>
      <c r="E355" s="1" t="s">
        <v>344</v>
      </c>
    </row>
    <row r="356" spans="1:5" x14ac:dyDescent="0.35">
      <c r="A356" s="1" t="s">
        <v>371</v>
      </c>
      <c r="B356">
        <v>2021</v>
      </c>
      <c r="C356">
        <v>-5.08</v>
      </c>
      <c r="D356">
        <v>141.9</v>
      </c>
      <c r="E356" s="1" t="s">
        <v>344</v>
      </c>
    </row>
    <row r="357" spans="1:5" x14ac:dyDescent="0.35">
      <c r="A357" s="1" t="s">
        <v>372</v>
      </c>
      <c r="B357">
        <v>2025</v>
      </c>
      <c r="C357">
        <v>-8.73</v>
      </c>
      <c r="D357">
        <v>140.18</v>
      </c>
      <c r="E357" s="1" t="s">
        <v>344</v>
      </c>
    </row>
    <row r="358" spans="1:5" x14ac:dyDescent="0.35">
      <c r="A358" s="1" t="s">
        <v>373</v>
      </c>
      <c r="B358">
        <v>2025</v>
      </c>
      <c r="C358">
        <v>8.23</v>
      </c>
      <c r="D358">
        <v>139.83000000000001</v>
      </c>
      <c r="E358" s="1" t="s">
        <v>344</v>
      </c>
    </row>
    <row r="359" spans="1:5" x14ac:dyDescent="0.35">
      <c r="A359" s="1" t="s">
        <v>374</v>
      </c>
      <c r="B359">
        <v>2024</v>
      </c>
      <c r="C359">
        <v>7.62</v>
      </c>
      <c r="D359">
        <v>133.86000000000001</v>
      </c>
      <c r="E359" s="1" t="s">
        <v>344</v>
      </c>
    </row>
    <row r="360" spans="1:5" x14ac:dyDescent="0.35">
      <c r="A360" s="1" t="s">
        <v>375</v>
      </c>
      <c r="B360">
        <v>2022</v>
      </c>
      <c r="C360">
        <v>-0.59</v>
      </c>
      <c r="D360">
        <v>133.16</v>
      </c>
      <c r="E360" s="1" t="s">
        <v>344</v>
      </c>
    </row>
    <row r="361" spans="1:5" x14ac:dyDescent="0.35">
      <c r="A361" s="1" t="s">
        <v>376</v>
      </c>
      <c r="B361">
        <v>2020</v>
      </c>
      <c r="C361">
        <v>-0.61</v>
      </c>
      <c r="D361">
        <v>120.15</v>
      </c>
      <c r="E361" s="1" t="s">
        <v>344</v>
      </c>
    </row>
    <row r="362" spans="1:5" x14ac:dyDescent="0.35">
      <c r="A362" s="1" t="s">
        <v>377</v>
      </c>
      <c r="B362">
        <v>2023</v>
      </c>
      <c r="C362">
        <v>27.85</v>
      </c>
      <c r="D362">
        <v>117.32</v>
      </c>
      <c r="E362" s="1" t="s">
        <v>344</v>
      </c>
    </row>
    <row r="363" spans="1:5" x14ac:dyDescent="0.35">
      <c r="A363" s="1" t="s">
        <v>378</v>
      </c>
      <c r="B363">
        <v>2022</v>
      </c>
      <c r="C363">
        <v>5.82</v>
      </c>
      <c r="D363">
        <v>114.78</v>
      </c>
      <c r="E363" s="1" t="s">
        <v>344</v>
      </c>
    </row>
    <row r="364" spans="1:5" x14ac:dyDescent="0.35">
      <c r="A364" s="1" t="s">
        <v>379</v>
      </c>
      <c r="B364">
        <v>2023</v>
      </c>
      <c r="C364">
        <v>15.75</v>
      </c>
      <c r="D364">
        <v>114.63</v>
      </c>
      <c r="E364" s="1" t="s">
        <v>344</v>
      </c>
    </row>
    <row r="365" spans="1:5" x14ac:dyDescent="0.35">
      <c r="A365" s="1" t="s">
        <v>380</v>
      </c>
      <c r="B365">
        <v>2025</v>
      </c>
      <c r="C365">
        <v>-7.55</v>
      </c>
      <c r="D365">
        <v>114.38</v>
      </c>
      <c r="E365" s="1" t="s">
        <v>344</v>
      </c>
    </row>
    <row r="366" spans="1:5" x14ac:dyDescent="0.35">
      <c r="A366" s="1" t="s">
        <v>381</v>
      </c>
      <c r="B366">
        <v>2023</v>
      </c>
      <c r="C366">
        <v>19.100000000000001</v>
      </c>
      <c r="D366">
        <v>111.35</v>
      </c>
      <c r="E366" s="1" t="s">
        <v>344</v>
      </c>
    </row>
    <row r="367" spans="1:5" x14ac:dyDescent="0.35">
      <c r="A367" s="1" t="s">
        <v>382</v>
      </c>
      <c r="B367">
        <v>2021</v>
      </c>
      <c r="C367">
        <v>24.12</v>
      </c>
      <c r="D367">
        <v>106.49</v>
      </c>
      <c r="E367" s="1" t="s">
        <v>344</v>
      </c>
    </row>
    <row r="368" spans="1:5" x14ac:dyDescent="0.35">
      <c r="A368" s="1" t="s">
        <v>383</v>
      </c>
      <c r="B368">
        <v>2021</v>
      </c>
      <c r="C368">
        <v>-1.33</v>
      </c>
      <c r="D368">
        <v>106.48</v>
      </c>
      <c r="E368" s="1" t="s">
        <v>344</v>
      </c>
    </row>
    <row r="369" spans="1:5" x14ac:dyDescent="0.35">
      <c r="A369" s="1" t="s">
        <v>384</v>
      </c>
      <c r="B369">
        <v>2021</v>
      </c>
      <c r="C369">
        <v>1.84</v>
      </c>
      <c r="D369">
        <v>104.36</v>
      </c>
      <c r="E369" s="1" t="s">
        <v>344</v>
      </c>
    </row>
    <row r="370" spans="1:5" x14ac:dyDescent="0.35">
      <c r="A370" s="1" t="s">
        <v>385</v>
      </c>
      <c r="B370">
        <v>2024</v>
      </c>
      <c r="C370">
        <v>13.13</v>
      </c>
      <c r="D370">
        <v>103.42</v>
      </c>
      <c r="E370" s="1" t="s">
        <v>344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80B7-EC7C-47A1-97D3-47BCEA3D66DF}">
  <dimension ref="A1:C5"/>
  <sheetViews>
    <sheetView workbookViewId="0"/>
  </sheetViews>
  <sheetFormatPr defaultRowHeight="14.5" x14ac:dyDescent="0.35"/>
  <cols>
    <col min="1" max="1" width="30.1796875" bestFit="1" customWidth="1"/>
    <col min="2" max="2" width="7.90625" bestFit="1" customWidth="1"/>
    <col min="3" max="3" width="18.81640625" bestFit="1" customWidth="1"/>
  </cols>
  <sheetData>
    <row r="1" spans="1:3" x14ac:dyDescent="0.35">
      <c r="A1" t="s">
        <v>14</v>
      </c>
      <c r="B1" t="s">
        <v>386</v>
      </c>
      <c r="C1" t="s">
        <v>387</v>
      </c>
    </row>
    <row r="2" spans="1:3" x14ac:dyDescent="0.35">
      <c r="A2" s="1" t="s">
        <v>269</v>
      </c>
      <c r="B2">
        <v>26</v>
      </c>
      <c r="C2">
        <v>294.33</v>
      </c>
    </row>
    <row r="3" spans="1:3" x14ac:dyDescent="0.35">
      <c r="A3" s="1" t="s">
        <v>344</v>
      </c>
      <c r="B3">
        <v>42</v>
      </c>
      <c r="C3">
        <v>290.08999999999997</v>
      </c>
    </row>
    <row r="4" spans="1:3" x14ac:dyDescent="0.35">
      <c r="A4" s="1" t="s">
        <v>16</v>
      </c>
      <c r="B4">
        <v>253</v>
      </c>
      <c r="C4">
        <v>-0.19</v>
      </c>
    </row>
    <row r="5" spans="1:3" x14ac:dyDescent="0.35">
      <c r="A5" s="1" t="s">
        <v>296</v>
      </c>
      <c r="B5">
        <v>48</v>
      </c>
      <c r="C5">
        <v>-15.3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547A-F198-4B40-AB91-CC690DA3FC65}">
  <dimension ref="A1:E7"/>
  <sheetViews>
    <sheetView workbookViewId="0"/>
  </sheetViews>
  <sheetFormatPr defaultRowHeight="14.5" x14ac:dyDescent="0.35"/>
  <cols>
    <col min="1" max="1" width="6.6328125" bestFit="1" customWidth="1"/>
    <col min="2" max="2" width="11.36328125" bestFit="1" customWidth="1"/>
    <col min="3" max="3" width="17.90625" bestFit="1" customWidth="1"/>
    <col min="4" max="4" width="18.81640625" bestFit="1" customWidth="1"/>
    <col min="5" max="5" width="10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387</v>
      </c>
      <c r="E1" t="s">
        <v>388</v>
      </c>
    </row>
    <row r="2" spans="1:5" x14ac:dyDescent="0.35">
      <c r="A2">
        <v>2020</v>
      </c>
      <c r="B2">
        <v>14</v>
      </c>
      <c r="C2">
        <v>44.34</v>
      </c>
      <c r="D2">
        <v>273.18</v>
      </c>
      <c r="E2">
        <v>228.84</v>
      </c>
    </row>
    <row r="3" spans="1:5" x14ac:dyDescent="0.35">
      <c r="A3">
        <v>2021</v>
      </c>
      <c r="B3">
        <v>63</v>
      </c>
      <c r="C3">
        <v>30.57</v>
      </c>
      <c r="D3">
        <v>100.52</v>
      </c>
      <c r="E3">
        <v>69.95</v>
      </c>
    </row>
    <row r="4" spans="1:5" x14ac:dyDescent="0.35">
      <c r="A4">
        <v>2022</v>
      </c>
      <c r="B4">
        <v>38</v>
      </c>
      <c r="C4">
        <v>9.3699999999999992</v>
      </c>
      <c r="D4">
        <v>70.459999999999994</v>
      </c>
      <c r="E4">
        <v>61.09</v>
      </c>
    </row>
    <row r="5" spans="1:5" x14ac:dyDescent="0.35">
      <c r="A5">
        <v>2023</v>
      </c>
      <c r="B5">
        <v>59</v>
      </c>
      <c r="C5">
        <v>28.53</v>
      </c>
      <c r="D5">
        <v>55.71</v>
      </c>
      <c r="E5">
        <v>27.17</v>
      </c>
    </row>
    <row r="6" spans="1:5" x14ac:dyDescent="0.35">
      <c r="A6">
        <v>2024</v>
      </c>
      <c r="B6">
        <v>90</v>
      </c>
      <c r="C6">
        <v>30.12</v>
      </c>
      <c r="D6">
        <v>17.239999999999998</v>
      </c>
      <c r="E6">
        <v>-12.89</v>
      </c>
    </row>
    <row r="7" spans="1:5" x14ac:dyDescent="0.35">
      <c r="A7">
        <v>2025</v>
      </c>
      <c r="B7">
        <v>105</v>
      </c>
      <c r="C7">
        <v>9.5399999999999991</v>
      </c>
      <c r="D7">
        <v>13.15</v>
      </c>
      <c r="E7">
        <v>3.62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49E6-236A-4206-88AB-D46E79674459}">
  <dimension ref="A1:B14"/>
  <sheetViews>
    <sheetView tabSelected="1" workbookViewId="0">
      <selection activeCell="B4" sqref="B4"/>
    </sheetView>
  </sheetViews>
  <sheetFormatPr defaultRowHeight="14.5" x14ac:dyDescent="0.35"/>
  <cols>
    <col min="1" max="1" width="38.453125" bestFit="1" customWidth="1"/>
    <col min="2" max="2" width="11.453125" bestFit="1" customWidth="1"/>
  </cols>
  <sheetData>
    <row r="1" spans="1:2" x14ac:dyDescent="0.35">
      <c r="A1" s="2" t="s">
        <v>389</v>
      </c>
      <c r="B1" s="2" t="s">
        <v>403</v>
      </c>
    </row>
    <row r="2" spans="1:2" x14ac:dyDescent="0.35">
      <c r="A2" s="3" t="s">
        <v>390</v>
      </c>
      <c r="B2" s="3">
        <f>SUM(q1_yearly_listing_return[ipo_count])</f>
        <v>367</v>
      </c>
    </row>
    <row r="3" spans="1:2" x14ac:dyDescent="0.35">
      <c r="A3" s="3" t="s">
        <v>391</v>
      </c>
      <c r="B3" s="3" t="s">
        <v>404</v>
      </c>
    </row>
    <row r="4" spans="1:2" x14ac:dyDescent="0.35">
      <c r="A4" s="3" t="s">
        <v>392</v>
      </c>
      <c r="B4" s="3">
        <f>ROUND(SUMPRODUCT(q1_yearly_listing_return[ipo_count],q1_yearly_listing_return[avg_listing_return])/SUM(q1_yearly_listing_return[ipo_count]),2)</f>
        <v>22.52</v>
      </c>
    </row>
    <row r="5" spans="1:2" x14ac:dyDescent="0.35">
      <c r="A5" s="3" t="s">
        <v>393</v>
      </c>
      <c r="B5" s="4">
        <f>ROUND(SUMPRODUCT(q2_yearly_positive_rate[positive])/SUMPRODUCT(q2_yearly_positive_rate[total])*100,1)</f>
        <v>73</v>
      </c>
    </row>
    <row r="6" spans="1:2" x14ac:dyDescent="0.35">
      <c r="A6" s="3" t="s">
        <v>394</v>
      </c>
      <c r="B6" s="3">
        <f>MAX(q1_yearly_listing_return[best])</f>
        <v>267.18</v>
      </c>
    </row>
    <row r="7" spans="1:2" x14ac:dyDescent="0.35">
      <c r="A7" s="3" t="s">
        <v>395</v>
      </c>
      <c r="B7" s="3">
        <f>MIN(q1_yearly_listing_return[worst])</f>
        <v>-36.61</v>
      </c>
    </row>
    <row r="8" spans="1:2" x14ac:dyDescent="0.35">
      <c r="A8" s="3" t="s">
        <v>396</v>
      </c>
      <c r="B8" s="3">
        <f>INDEX(q1_yearly_listing_return[year],MATCH(MAX(q1_yearly_listing_return[avg_listing_return]),q1_yearly_listing_return[avg_listing_return],0))</f>
        <v>2020</v>
      </c>
    </row>
    <row r="9" spans="1:2" x14ac:dyDescent="0.35">
      <c r="A9" s="3" t="s">
        <v>397</v>
      </c>
      <c r="B9" s="3">
        <f>INDEX(q1_yearly_listing_return[year],MATCH(MIN(q1_yearly_listing_return[avg_listing_return]),q1_yearly_listing_return[avg_listing_return],0))</f>
        <v>2022</v>
      </c>
    </row>
    <row r="10" spans="1:2" x14ac:dyDescent="0.35">
      <c r="A10" s="3" t="s">
        <v>398</v>
      </c>
      <c r="B10" s="3">
        <f>ROUND(SUMPRODUCT(q5_current_performance[still_above_issue])/SUMPRODUCT(q5_current_performance[ipo_count])*100,1)</f>
        <v>53.4</v>
      </c>
    </row>
    <row r="11" spans="1:2" x14ac:dyDescent="0.35">
      <c r="A11" s="3" t="s">
        <v>399</v>
      </c>
      <c r="B11" s="3">
        <f>VLOOKUP("Listing hero, long-term flop",q9_category_summary[#Data],2,0)</f>
        <v>48</v>
      </c>
    </row>
    <row r="12" spans="1:2" x14ac:dyDescent="0.35">
      <c r="A12" s="3" t="s">
        <v>400</v>
      </c>
      <c r="B12" s="3">
        <f>VLOOKUP("Quiet listing, long-term compounder",q9_category_summary[#Data],2,0)</f>
        <v>42</v>
      </c>
    </row>
    <row r="13" spans="1:2" x14ac:dyDescent="0.35">
      <c r="A13" s="3" t="s">
        <v>401</v>
      </c>
      <c r="B13" s="3">
        <f>MAX(q5_current_performance[avg_return_from_issue])</f>
        <v>273.18</v>
      </c>
    </row>
    <row r="14" spans="1:2" x14ac:dyDescent="0.35">
      <c r="A14" s="3" t="s">
        <v>402</v>
      </c>
      <c r="B14" s="3">
        <v>2024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3D50AD-9F4E-46F5-9527-BD7D010E52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q1_yearly_listing_return</vt:lpstr>
      <vt:lpstr>q2_yearly_positive_rate</vt:lpstr>
      <vt:lpstr>q5_current_performance</vt:lpstr>
      <vt:lpstr>q8_ipo_category_detail</vt:lpstr>
      <vt:lpstr>q9_category_summary</vt:lpstr>
      <vt:lpstr>q10_yearly_drift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Patni</dc:creator>
  <cp:lastModifiedBy>Ishan Patni</cp:lastModifiedBy>
  <dcterms:created xsi:type="dcterms:W3CDTF">2026-06-06T07:00:12Z</dcterms:created>
  <dcterms:modified xsi:type="dcterms:W3CDTF">2026-06-06T07:24:26Z</dcterms:modified>
</cp:coreProperties>
</file>